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83377f57b735e897/Máy tính/AXI2AHB1/"/>
    </mc:Choice>
  </mc:AlternateContent>
  <xr:revisionPtr revIDLastSave="233" documentId="11_96BAEF71EA07F57B813C8FC1F4B3DE81EE829617" xr6:coauthVersionLast="47" xr6:coauthVersionMax="47" xr10:uidLastSave="{61141E6E-79BD-4531-A579-E668EB33F104}"/>
  <bookViews>
    <workbookView xWindow="-28920" yWindow="-120" windowWidth="29040" windowHeight="15720" tabRatio="500" xr2:uid="{00000000-000D-0000-FFFF-FFFF00000000}"/>
  </bookViews>
  <sheets>
    <sheet name="Testcases" sheetId="1" r:id="rId1"/>
    <sheet name="Checklist" sheetId="2" r:id="rId2"/>
  </sheets>
  <definedNames>
    <definedName name="_xlnm._FilterDatabase" localSheetId="1" hidden="1">Checklist!$A$2:$I$14</definedName>
    <definedName name="_xlnm._FilterDatabase" localSheetId="0" hidden="1">Testcases!$A$2:$I$23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2" l="1"/>
  <c r="C19" i="2"/>
  <c r="C18" i="2"/>
  <c r="C17" i="2"/>
</calcChain>
</file>

<file path=xl/sharedStrings.xml><?xml version="1.0" encoding="utf-8"?>
<sst xmlns="http://schemas.openxmlformats.org/spreadsheetml/2006/main" count="285" uniqueCount="200">
  <si>
    <t>AXI4-to-AHB-Lite Bridge - Verification Test Cases</t>
  </si>
  <si>
    <t>No.</t>
  </si>
  <si>
    <t>Test Case ID / Name</t>
  </si>
  <si>
    <t>Test Description</t>
  </si>
  <si>
    <t>Objective / Expected Result</t>
  </si>
  <si>
    <t>Affected Signals (AXI4 / AHB-Lite)</t>
  </si>
  <si>
    <t>Start Date</t>
  </si>
  <si>
    <t>Status</t>
  </si>
  <si>
    <t>Result</t>
  </si>
  <si>
    <t>Notes</t>
  </si>
  <si>
    <t>Not Started</t>
  </si>
  <si>
    <t>Randomized blocking write/read with random addresses, lengths and data.</t>
  </si>
  <si>
    <t>Stress the address/data translation logic with randomized stimulus to expose corner-case mapping errors.</t>
  </si>
  <si>
    <t>AWADDR, AWLEN, WDATA, WSTRB, ARADDR, RDATA / HADDR, HBURST, HWDATA, HRDATA</t>
  </si>
  <si>
    <t>Verify AXI4 WRAP burst writes are correctly unrolled into AHB-Lite single/INCR accesses with proper address wrapping.</t>
  </si>
  <si>
    <t>AWBURST(=WRAP), AWLEN, AWSIZE, WDATA, WLAST / HADDR, HBURST, HWRITE, HTRANS</t>
  </si>
  <si>
    <t>Blocking WRAP burst write then read back.</t>
  </si>
  <si>
    <t>Confirm WRAP burst write data is stored at wrapped addresses and read back correctly through the bridge.</t>
  </si>
  <si>
    <t>AWBURST(=WRAP), WDATA, ARBURST(=WRAP), RDATA / HADDR, HBURST, HRDATA</t>
  </si>
  <si>
    <t>Blocking WRAP burst read transaction.</t>
  </si>
  <si>
    <t>Verify AXI4 WRAP burst read returns data in correct wrapped order from AHB-Lite slave.</t>
  </si>
  <si>
    <t>ARBURST(=WRAP), ARLEN, ARSIZE, RDATA, RLAST / HADDR, HBURST, HRDATA, HREADY</t>
  </si>
  <si>
    <t>axi4_blocking_unaligned_addr_write_read_test</t>
  </si>
  <si>
    <t>Write/read using addresses not aligned to the transfer size.</t>
  </si>
  <si>
    <t>Verify the bridge correctly handles unaligned AXI4 addresses and maps them to legal AHB-Lite accesses.</t>
  </si>
  <si>
    <t>AWADDR, AWSIZE, WSTRB, ARADDR, RDATA / HADDR, HSIZE, HWDATA, HRDATA</t>
  </si>
  <si>
    <t>axi4_blocking_slave_error_write_read_test</t>
  </si>
  <si>
    <t>Transaction where the AHB-Lite slave returns an error response.</t>
  </si>
  <si>
    <t>Verify an AHB-Lite HRESP error is correctly translated back to the AXI4 SLVERR response.</t>
  </si>
  <si>
    <t>BRESP(=SLVERR), RRESP(=SLVERR) / HRESP(=ERROR), HREADY</t>
  </si>
  <si>
    <t>axi4_blocking_outstanding_transfer_write_read_test</t>
  </si>
  <si>
    <t>Multiple outstanding write/read transactions issued before completion.</t>
  </si>
  <si>
    <t>Verify the bridge correctly serializes AXI4 outstanding transactions onto the single-pipeline AHB-Lite interface without data loss.</t>
  </si>
  <si>
    <t>AWVALID, AWREADY, ARVALID, ARREADY, BID, RID / HTRANS, HREADY, HADDR</t>
  </si>
  <si>
    <t>Write transaction expected to complete with OKAY response.</t>
  </si>
  <si>
    <t>Verify a normal write returns AXI4 OKAY (BRESP=2'b00) when AHB-Lite completes successfully.</t>
  </si>
  <si>
    <t>AWADDR, WDATA, BRESP(=OKAY) / HRESP(=OKAY), HREADY</t>
  </si>
  <si>
    <t>Write then read both expected to return OKAY response.</t>
  </si>
  <si>
    <t>Verify both write and read paths return AXI4 OKAY when the AHB-Lite slave responds normally.</t>
  </si>
  <si>
    <t>BRESP(=OKAY), RRESP(=OKAY) / HRESP(=OKAY), HREADY</t>
  </si>
  <si>
    <t>Read transaction expected to complete with OKAY response.</t>
  </si>
  <si>
    <t>Verify a normal read returns AXI4 OKAY (RRESP=2'b00) when AHB-Lite completes successfully.</t>
  </si>
  <si>
    <t>ARADDR, RDATA, RRESP(=OKAY) / HRESP(=OKAY), HRDATA, HREADY</t>
  </si>
  <si>
    <t>Blocking INCR burst write transaction.</t>
  </si>
  <si>
    <t>Verify AXI4 INCR burst writes are translated to sequential incrementing AHB-Lite accesses.</t>
  </si>
  <si>
    <t>AWBURST(=INCR), AWLEN, WDATA, WLAST / HADDR(incrementing), HBURST(=INCR), HTRANS(SEQ/NONSEQ)</t>
  </si>
  <si>
    <t>Blocking INCR burst write then read back.</t>
  </si>
  <si>
    <t>Confirm INCR burst write data is stored and read back in correct incrementing order.</t>
  </si>
  <si>
    <t>AWBURST(=INCR), WDATA, ARBURST(=INCR), RDATA / HADDR, HBURST, HRDATA</t>
  </si>
  <si>
    <t>Blocking INCR burst read transaction.</t>
  </si>
  <si>
    <t>Verify AXI4 INCR burst read returns data in correct incrementing address order.</t>
  </si>
  <si>
    <t>ARBURST(=INCR), ARLEN, RDATA, RLAST / HADDR(incrementing), HBURST(=INCR), HRDATA</t>
  </si>
  <si>
    <t>axi4_blocking_fixed_burst_write_read_test</t>
  </si>
  <si>
    <t>Blocking FIXED burst write then read on the same address.</t>
  </si>
  <si>
    <t>Verify AXI4 FIXED burst (constant address) is correctly mapped to repeated single AHB-Lite accesses at the same address.</t>
  </si>
  <si>
    <t>AWBURST(=FIXED), AWLEN, WDATA, ARBURST(=FIXED), RDATA / HADDR(constant), HTRANS(NONSEQ)</t>
  </si>
  <si>
    <t>8-bit (byte) write followed by read.</t>
  </si>
  <si>
    <t>Verify byte-wide transfers (AWSIZE/ARSIZE = 1 byte) map correctly to HSIZE=BYTE on AHB-Lite.</t>
  </si>
  <si>
    <t>AWSIZE(=0), WSTRB, WDATA[7:0], RDATA[7:0] / HSIZE(=BYTE), HWDATA, HRDATA</t>
  </si>
  <si>
    <t>8-bit write-only data path test.</t>
  </si>
  <si>
    <t>Verify byte-wide write data and strobe alignment are correctly forwarded to AHB-Lite.</t>
  </si>
  <si>
    <t>AWSIZE(=0), WSTRB, WDATA[7:0] / HSIZE(=BYTE), HWDATA</t>
  </si>
  <si>
    <t>8-bit read-only data path test.</t>
  </si>
  <si>
    <t>Verify byte-wide read data is correctly returned from AHB-Lite to AXI4.</t>
  </si>
  <si>
    <t>ARSIZE(=0), RDATA[7:0] / HSIZE(=BYTE), HRDATA</t>
  </si>
  <si>
    <t>32-bit (word) write followed by read.</t>
  </si>
  <si>
    <t>Verify word-wide transfers (AWSIZE/ARSIZE = 4 bytes) map correctly to HSIZE=WORD on AHB-Lite.</t>
  </si>
  <si>
    <t>AWSIZE(=2), WSTRB, WDATA[31:0], RDATA[31:0] / HSIZE(=WORD), HWDATA, HRDATA</t>
  </si>
  <si>
    <t>32-bit write-only data path test.</t>
  </si>
  <si>
    <t>Verify word-wide write data is correctly forwarded to AHB-Lite.</t>
  </si>
  <si>
    <t>AWSIZE(=2), WSTRB, WDATA[31:0] / HSIZE(=WORD), HWDATA</t>
  </si>
  <si>
    <t>32-bit read-only data path test.</t>
  </si>
  <si>
    <t>Verify word-wide read data is correctly returned from AHB-Lite to AXI4.</t>
  </si>
  <si>
    <t>ARSIZE(=2), RDATA[31:0] / HSIZE(=WORD), HRDATA</t>
  </si>
  <si>
    <t>16-bit (halfword) write followed by read.</t>
  </si>
  <si>
    <t>Verify halfword-wide transfers (AWSIZE/ARSIZE = 2 bytes) map correctly to HSIZE=HALFWORD on AHB-Lite.</t>
  </si>
  <si>
    <t>AWSIZE(=1), WSTRB, WDATA[15:0], RDATA[15:0] / HSIZE(=HALFWORD), HWDATA, HRDATA</t>
  </si>
  <si>
    <t>16-bit write-only data path test.</t>
  </si>
  <si>
    <t>Verify halfword-wide write data and strobe alignment are correctly forwarded to AHB-Lite.</t>
  </si>
  <si>
    <t>AWSIZE(=1), WSTRB, WDATA[15:0] / HSIZE(=HALFWORD), HWDATA</t>
  </si>
  <si>
    <t>16-bit read-only data path test.</t>
  </si>
  <si>
    <t>Verify halfword-wide read data is correctly returned from AHB-Lite to AXI4.</t>
  </si>
  <si>
    <t>ARSIZE(=1), RDATA[15:0] / HSIZE(=HALFWORD), HRDATA</t>
  </si>
  <si>
    <t>AXI4-to-AHB-Lite Bridge - Verification Checklist</t>
  </si>
  <si>
    <t>Check ID</t>
  </si>
  <si>
    <t>Category</t>
  </si>
  <si>
    <t>Feature / Item to Verify</t>
  </si>
  <si>
    <t>Related Test Cases</t>
  </si>
  <si>
    <t>Update / Last Update</t>
  </si>
  <si>
    <t>CHK-01</t>
  </si>
  <si>
    <t>Data Width</t>
  </si>
  <si>
    <t>Verify 8-bit byte transfers translate correctly (AXI4 AWSIZE/ARSIZE -&gt; AHB HSIZE=BYTE).</t>
  </si>
  <si>
    <t>axi4_blocking_8b_write_read_test, axi4_blocking_8b_write_data_test, axi4_blocking_8b_data_read_test</t>
  </si>
  <si>
    <t>CHK-02</t>
  </si>
  <si>
    <t>Verify 16-bit halfword transfers translate correctly (HSIZE=HALFWORD).</t>
  </si>
  <si>
    <t>axi4_blocking_16b_write_read_test, axi4_blocking_16b_write_data_test, axi4_blocking_16b_data_read_test</t>
  </si>
  <si>
    <t>CHK-03</t>
  </si>
  <si>
    <t>Verify 32-bit word transfers translate correctly (HSIZE=WORD).</t>
  </si>
  <si>
    <t>axi4_blocking_32b_write_read_test, axi4_blocking_32b_write_data_test, axi4_blocking_32b_data_read_test</t>
  </si>
  <si>
    <t>CHK-04</t>
  </si>
  <si>
    <t>Burst Type</t>
  </si>
  <si>
    <t>Verify INCR burst is unrolled into sequential AHB-Lite accesses.</t>
  </si>
  <si>
    <t>axi4_blocking_incr_burst_write_test, axi4_blocking_incr_burst_write_read_test, axi4_blocking_incr_burst_read_test</t>
  </si>
  <si>
    <t>CHK-05</t>
  </si>
  <si>
    <t>Verify WRAP burst address wrapping is handled correctly.</t>
  </si>
  <si>
    <t>axi4_blocking_wrap_burst_write_test, axi4_blocking_wrap_burst_write_read_test, axi4_blocking_wrap_burst_read_test</t>
  </si>
  <si>
    <t>CHK-06</t>
  </si>
  <si>
    <t>Verify FIXED burst maps to repeated same-address accesses.</t>
  </si>
  <si>
    <t>CHK-07</t>
  </si>
  <si>
    <t>Response</t>
  </si>
  <si>
    <t>Verify OKAY response is propagated for normal transactions.</t>
  </si>
  <si>
    <t>axi4_blocking_okay_response_write_test, axi4_blocking_okay_response_write_read_test, axi4_blocking_okay_response_read_test</t>
  </si>
  <si>
    <t>CHK-08</t>
  </si>
  <si>
    <t>Verify EXOKAY response for exclusive accesses.</t>
  </si>
  <si>
    <t>axi4_blocking_exokay_response_write_test, axi4_blocking_exokay_response_read_test</t>
  </si>
  <si>
    <t>CHK-09</t>
  </si>
  <si>
    <t>Verify AHB error (HRESP) maps to AXI4 SLVERR.</t>
  </si>
  <si>
    <t>CHK-10</t>
  </si>
  <si>
    <t>Addressing</t>
  </si>
  <si>
    <t>Verify unaligned address handling.</t>
  </si>
  <si>
    <t>CHK-11</t>
  </si>
  <si>
    <t>Data Integrity</t>
  </si>
  <si>
    <t>Verify basic and randomized write/read data integrity.</t>
  </si>
  <si>
    <t>axi4_blocking_write_read_test, axi4_blocking_write_read_rand_test, axi4_blocking_cross_write_read_test</t>
  </si>
  <si>
    <t>CHK-12</t>
  </si>
  <si>
    <t>Outstanding</t>
  </si>
  <si>
    <t>Verify outstanding transactions are serialized without data loss.</t>
  </si>
  <si>
    <t>Summary</t>
  </si>
  <si>
    <t>Total Checks</t>
  </si>
  <si>
    <t>Passed</t>
  </si>
  <si>
    <t>Failed</t>
  </si>
  <si>
    <t>Completed</t>
  </si>
  <si>
    <t>Blocking WRAP burst write transaction with the different sizes(2,4,8,16) .</t>
  </si>
  <si>
    <t>Pass</t>
  </si>
  <si>
    <t>N/A</t>
  </si>
  <si>
    <t>INCR burst read whose address range crosses a 1 KB boundary.</t>
  </si>
  <si>
    <t>Verify the bridge splits the AXI4 read into two AHB-Lite INCR bursts of undefined length when a 1 KB boundary is crossed (per spec).</t>
  </si>
  <si>
    <t>ARADDR, ARLEN, ARBURST(=INCR), RDATA, RLAST / HADDR, HBURST(=INCR undefined), HTRANS(restart)</t>
  </si>
  <si>
    <t>INCR burst write whose address range crosses a 1 KB boundary.</t>
  </si>
  <si>
    <t>Verify the bridge splits the AXI4 write into two AHB-Lite INCR bursts of undefined length when a 1 KB boundary is crossed.</t>
  </si>
  <si>
    <t>AWADDR, AWLEN, AWBURST(=INCR), WDATA, WLAST / HADDR, HBURST(=INCR undefined), HTRANS(restart)</t>
  </si>
  <si>
    <t>Read transaction where the AHB-Lite slave never responds, triggering bridge timeout.</t>
  </si>
  <si>
    <t>Verify timeout logic waits the parameterized number of clocks, completes the AXI4 read with SLVERR, and drives IDLE on AHB-Lite (Fig 3-14).</t>
  </si>
  <si>
    <t>ARVALID, RRESP(=SLVERR), RVALID / HTRANS(=IDLE), HREADY(stuck)</t>
  </si>
  <si>
    <t>Write transaction where the AHB-Lite slave never responds, triggering bridge timeout.</t>
  </si>
  <si>
    <t>Verify timeout logic completes the AXI4 write with SLVERR and drives IDLE on AHB-Lite (Fig 3-15).</t>
  </si>
  <si>
    <t>AWVALID, WVALID, BRESP(=SLVERR), BVALID / HTRANS(=IDLE), HREADY(stuck)</t>
  </si>
  <si>
    <t>Simultaneous read and write request issued on the AXI4 interface in the same cycle.</t>
  </si>
  <si>
    <t>Verify the bridge gives the read request higher priority and issues read before write on AHB-Lite (Fig 3-3).</t>
  </si>
  <si>
    <t>ARVALID, AWVALID, WVALID, ARREADY, AWREADY / HADDR, HWRITE, HTRANS ordering</t>
  </si>
  <si>
    <t>Transaction with privileged + data AWPROT/ARPROT and non-cacheable AWCACHE.</t>
  </si>
  <si>
    <t>Verify AXI4 protection/cache attributes map to the correct m_ahb_hprot value (privileged, data, non-cacheable, non-bufferable) per Table 3-1.</t>
  </si>
  <si>
    <t>AWPROT, ARPROT, AWCACHE, ARCACHE / HPROT[3:0]</t>
  </si>
  <si>
    <t>Transaction with instruction-access PROT and bufferable CACHE encoding.</t>
  </si>
  <si>
    <t>Verify instruction access maps to opcode-fetch on AHB and bufferable maps to the corresponding HPROT bit per Table 3-1.</t>
  </si>
  <si>
    <t>AWPROT(instr), AWCACHE(bufferable) / HPROT[3:0] (opcode + bufferable bits)</t>
  </si>
  <si>
    <t>Assert s_axi_aresetn during idle and during an active transaction.</t>
  </si>
  <si>
    <t>Verify synchronous reset returns AXI4 and AHB-Lite outputs to their initial states and no transaction completes after reset assertion.</t>
  </si>
  <si>
    <t>ARESETN / all AHB-Lite outputs return to initial (HTRANS=IDLE, HADDR=0, HPROT=0011)</t>
  </si>
  <si>
    <t>Multiple back-to-back single write/read transactions with no idle gap.</t>
  </si>
  <si>
    <t>Verify the bridge sustains continuous transactions and AHB HTRANS sequencing (NONSEQ/IDLE) is correct between them; checks 3-clk write / 4-clk read latency.</t>
  </si>
  <si>
    <t>AWVALID/WVALID/ARVALID streams / HTRANS(NONSEQ-&gt;IDLE), HREADY</t>
  </si>
  <si>
    <t>x2h_blocking_unaligned_addr_read_test</t>
  </si>
  <si>
    <t>x2h_blocking_write_read_rand_test</t>
  </si>
  <si>
    <t>x2h_blocking_wrap_burst_write_test</t>
  </si>
  <si>
    <t>x2h_blocking_incr_burst_write_test</t>
  </si>
  <si>
    <t>x2h_blocking_wrap_burst_write_read_test</t>
  </si>
  <si>
    <t>x2h_blocking_wrap_burst_read_test</t>
  </si>
  <si>
    <t>x2h_blocking_slave_error_write_read_test</t>
  </si>
  <si>
    <t>x2h_blocking_okay_response_write_test</t>
  </si>
  <si>
    <t>x2h_blocking_okay_response_write_read_test</t>
  </si>
  <si>
    <t>x2h_blocking_okay_response_read_test</t>
  </si>
  <si>
    <t>x2h_blocking_incr_burst_write_read_test</t>
  </si>
  <si>
    <t>x2h_blocking_incr_burst_read_test</t>
  </si>
  <si>
    <t>x2h_blocking_fixed_burst_write_read_test</t>
  </si>
  <si>
    <t>x2h_blocking_8b_write_read_test</t>
  </si>
  <si>
    <t>x2h_blocking_8b_write_data_test</t>
  </si>
  <si>
    <t>x2h_blocking_8b_data_read_test</t>
  </si>
  <si>
    <t>x2h_blocking_32b_write_read_test</t>
  </si>
  <si>
    <t>x2h_blocking_32b_write_data_test</t>
  </si>
  <si>
    <t>x2h_blocking_32b_data_read_test</t>
  </si>
  <si>
    <t>x2h_blocking_16b_write_read_test</t>
  </si>
  <si>
    <t>x2h_blocking_16b_write_data_test</t>
  </si>
  <si>
    <t>x2h_blocking_16b_data_read_test</t>
  </si>
  <si>
    <t>x2h_blocking_1kb_cross_incr_read_test</t>
  </si>
  <si>
    <t>x2h_blocking_1kb_cross_incr_write_test</t>
  </si>
  <si>
    <t>x2h_blocking_read_timeout_test</t>
  </si>
  <si>
    <t>x2h_blocking_write_timeout_test</t>
  </si>
  <si>
    <t>x2h_blocking_read_write_priority_test</t>
  </si>
  <si>
    <t>x2h_blocking_reset_test</t>
  </si>
  <si>
    <t>x2h_blocking_back_to_back_write_read_test</t>
  </si>
  <si>
    <t>x2h_blocking_hprot_privileged_data_test</t>
  </si>
  <si>
    <t>x2h_blocking_hprot_instruction_bufferable_test</t>
  </si>
  <si>
    <t>x2h_blocking_outstanding_transfer_write_read_test</t>
  </si>
  <si>
    <t>x2h_virtual_bk_narrow_unaligned_sparse_seq</t>
  </si>
  <si>
    <t>Verify the bridge analysis narrow transfer with no sparse/hole and unalign.</t>
  </si>
  <si>
    <t>Bridge monitor strb and size to convert ahb_size</t>
  </si>
  <si>
    <t>x2h_blocking_illegal_axsize_slverr_test</t>
  </si>
  <si>
    <t>Verify the bridge resolve size transfer &gt; data buswidth, .</t>
  </si>
  <si>
    <t>slverr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</si>
</sst>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1"/>
      <name val="Arial"/>
      <charset val="1"/>
    </font>
    <font>
      <b/>
      <sz val="11"/>
      <color rgb="FFFFFFFF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charset val="1"/>
    </font>
    <font>
      <b/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1F4E78"/>
        <bgColor rgb="FF003366"/>
      </patternFill>
    </fill>
    <fill>
      <patternFill patternType="solid">
        <fgColor rgb="FFDDEBF7"/>
        <bgColor rgb="FFCCFFFF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top" wrapText="1"/>
    </xf>
    <xf numFmtId="0" fontId="4" fillId="0" borderId="0" xfId="0" applyFont="1"/>
    <xf numFmtId="0" fontId="3" fillId="0" borderId="0" xfId="0" applyFont="1"/>
    <xf numFmtId="0" fontId="7" fillId="0" borderId="0" xfId="0" applyFont="1"/>
    <xf numFmtId="0" fontId="2" fillId="3" borderId="3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vertical="top" wrapText="1"/>
    </xf>
    <xf numFmtId="14" fontId="3" fillId="0" borderId="2" xfId="0" applyNumberFormat="1" applyFont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vertical="top" wrapText="1"/>
    </xf>
    <xf numFmtId="0" fontId="8" fillId="6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vertical="top" wrapText="1"/>
    </xf>
    <xf numFmtId="0" fontId="0" fillId="7" borderId="2" xfId="0" applyFill="1" applyBorder="1"/>
    <xf numFmtId="0" fontId="0" fillId="0" borderId="2" xfId="0" applyBorder="1"/>
    <xf numFmtId="0" fontId="7" fillId="0" borderId="2" xfId="0" applyFont="1" applyBorder="1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6"/>
  <sheetViews>
    <sheetView tabSelected="1" zoomScaleNormal="100" workbookViewId="0">
      <pane ySplit="2" topLeftCell="A23" activePane="bottomLeft" state="frozen"/>
      <selection pane="bottomLeft" activeCell="F35" sqref="F35"/>
    </sheetView>
  </sheetViews>
  <sheetFormatPr defaultColWidth="8.6640625" defaultRowHeight="14.4" x14ac:dyDescent="0.3"/>
  <cols>
    <col min="1" max="1" width="5" customWidth="1"/>
    <col min="2" max="2" width="44.88671875" customWidth="1"/>
    <col min="3" max="3" width="48" customWidth="1"/>
    <col min="4" max="4" width="50" customWidth="1"/>
    <col min="5" max="5" width="46" customWidth="1"/>
    <col min="6" max="6" width="13" customWidth="1"/>
    <col min="7" max="7" width="14" customWidth="1"/>
    <col min="8" max="8" width="10" style="8" customWidth="1"/>
    <col min="9" max="9" width="28" customWidth="1"/>
  </cols>
  <sheetData>
    <row r="1" spans="1:9" ht="25.5" customHeight="1" x14ac:dyDescent="0.3">
      <c r="A1" s="23" t="s">
        <v>0</v>
      </c>
      <c r="B1" s="23"/>
      <c r="C1" s="23"/>
      <c r="D1" s="23"/>
      <c r="E1" s="23"/>
      <c r="F1" s="23"/>
      <c r="G1" s="23"/>
      <c r="H1" s="23"/>
      <c r="I1" s="23"/>
    </row>
    <row r="2" spans="1:9" ht="31.5" customHeight="1" x14ac:dyDescent="0.3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7</v>
      </c>
      <c r="H2" s="10" t="s">
        <v>8</v>
      </c>
      <c r="I2" s="9" t="s">
        <v>9</v>
      </c>
    </row>
    <row r="3" spans="1:9" ht="26.4" x14ac:dyDescent="0.3">
      <c r="A3" s="11">
        <v>1</v>
      </c>
      <c r="B3" s="12" t="s">
        <v>163</v>
      </c>
      <c r="C3" s="12" t="s">
        <v>11</v>
      </c>
      <c r="D3" s="12" t="s">
        <v>12</v>
      </c>
      <c r="E3" s="12" t="s">
        <v>13</v>
      </c>
      <c r="F3" s="13">
        <v>46240</v>
      </c>
      <c r="G3" s="11" t="s">
        <v>10</v>
      </c>
      <c r="H3" s="14" t="s">
        <v>134</v>
      </c>
      <c r="I3" s="12"/>
    </row>
    <row r="4" spans="1:9" ht="39.6" x14ac:dyDescent="0.3">
      <c r="A4" s="15">
        <v>2</v>
      </c>
      <c r="B4" s="16" t="s">
        <v>164</v>
      </c>
      <c r="C4" s="16" t="s">
        <v>132</v>
      </c>
      <c r="D4" s="16" t="s">
        <v>14</v>
      </c>
      <c r="E4" s="16" t="s">
        <v>15</v>
      </c>
      <c r="F4" s="13">
        <v>46240</v>
      </c>
      <c r="G4" s="15" t="s">
        <v>131</v>
      </c>
      <c r="H4" s="17" t="s">
        <v>133</v>
      </c>
      <c r="I4" s="16"/>
    </row>
    <row r="5" spans="1:9" ht="39.6" x14ac:dyDescent="0.3">
      <c r="A5" s="11">
        <v>3</v>
      </c>
      <c r="B5" s="12" t="s">
        <v>165</v>
      </c>
      <c r="C5" s="12" t="s">
        <v>43</v>
      </c>
      <c r="D5" s="12" t="s">
        <v>44</v>
      </c>
      <c r="E5" s="12" t="s">
        <v>45</v>
      </c>
      <c r="F5" s="13">
        <v>46240</v>
      </c>
      <c r="G5" s="11" t="s">
        <v>131</v>
      </c>
      <c r="H5" s="17" t="s">
        <v>133</v>
      </c>
      <c r="I5" s="12"/>
    </row>
    <row r="6" spans="1:9" ht="26.4" x14ac:dyDescent="0.3">
      <c r="A6" s="11">
        <v>4</v>
      </c>
      <c r="B6" s="12" t="s">
        <v>166</v>
      </c>
      <c r="C6" s="12" t="s">
        <v>16</v>
      </c>
      <c r="D6" s="12" t="s">
        <v>17</v>
      </c>
      <c r="E6" s="12" t="s">
        <v>18</v>
      </c>
      <c r="F6" s="13">
        <v>46240</v>
      </c>
      <c r="G6" s="11" t="s">
        <v>131</v>
      </c>
      <c r="H6" s="17" t="s">
        <v>133</v>
      </c>
      <c r="I6" s="12"/>
    </row>
    <row r="7" spans="1:9" ht="26.4" x14ac:dyDescent="0.3">
      <c r="A7" s="15">
        <v>5</v>
      </c>
      <c r="B7" s="16" t="s">
        <v>167</v>
      </c>
      <c r="C7" s="16" t="s">
        <v>19</v>
      </c>
      <c r="D7" s="16" t="s">
        <v>20</v>
      </c>
      <c r="E7" s="16" t="s">
        <v>21</v>
      </c>
      <c r="F7" s="13">
        <v>46240</v>
      </c>
      <c r="G7" s="15" t="s">
        <v>131</v>
      </c>
      <c r="H7" s="17" t="s">
        <v>133</v>
      </c>
      <c r="I7" s="16"/>
    </row>
    <row r="8" spans="1:9" ht="26.4" x14ac:dyDescent="0.3">
      <c r="A8" s="15">
        <v>7</v>
      </c>
      <c r="B8" s="16" t="s">
        <v>168</v>
      </c>
      <c r="C8" s="16" t="s">
        <v>27</v>
      </c>
      <c r="D8" s="16" t="s">
        <v>28</v>
      </c>
      <c r="E8" s="16" t="s">
        <v>29</v>
      </c>
      <c r="F8" s="13">
        <v>46240</v>
      </c>
      <c r="G8" s="15" t="s">
        <v>131</v>
      </c>
      <c r="H8" s="17" t="s">
        <v>133</v>
      </c>
      <c r="I8" s="16"/>
    </row>
    <row r="9" spans="1:9" ht="26.4" x14ac:dyDescent="0.3">
      <c r="A9" s="15">
        <v>9</v>
      </c>
      <c r="B9" s="16" t="s">
        <v>169</v>
      </c>
      <c r="C9" s="16" t="s">
        <v>34</v>
      </c>
      <c r="D9" s="16" t="s">
        <v>35</v>
      </c>
      <c r="E9" s="16" t="s">
        <v>36</v>
      </c>
      <c r="F9" s="13">
        <v>46240</v>
      </c>
      <c r="G9" s="15" t="s">
        <v>131</v>
      </c>
      <c r="H9" s="17" t="s">
        <v>133</v>
      </c>
      <c r="I9" s="16"/>
    </row>
    <row r="10" spans="1:9" ht="26.4" x14ac:dyDescent="0.3">
      <c r="A10" s="11">
        <v>10</v>
      </c>
      <c r="B10" s="12" t="s">
        <v>170</v>
      </c>
      <c r="C10" s="12" t="s">
        <v>37</v>
      </c>
      <c r="D10" s="12" t="s">
        <v>38</v>
      </c>
      <c r="E10" s="12" t="s">
        <v>39</v>
      </c>
      <c r="F10" s="13">
        <v>46240</v>
      </c>
      <c r="G10" s="11" t="s">
        <v>131</v>
      </c>
      <c r="H10" s="17" t="s">
        <v>133</v>
      </c>
      <c r="I10" s="12"/>
    </row>
    <row r="11" spans="1:9" ht="26.4" x14ac:dyDescent="0.3">
      <c r="A11" s="15">
        <v>11</v>
      </c>
      <c r="B11" s="16" t="s">
        <v>171</v>
      </c>
      <c r="C11" s="16" t="s">
        <v>40</v>
      </c>
      <c r="D11" s="16" t="s">
        <v>41</v>
      </c>
      <c r="E11" s="16" t="s">
        <v>42</v>
      </c>
      <c r="F11" s="13">
        <v>46240</v>
      </c>
      <c r="G11" s="15" t="s">
        <v>131</v>
      </c>
      <c r="H11" s="17" t="s">
        <v>133</v>
      </c>
      <c r="I11" s="16"/>
    </row>
    <row r="12" spans="1:9" ht="26.4" x14ac:dyDescent="0.3">
      <c r="A12" s="15">
        <v>12</v>
      </c>
      <c r="B12" s="16" t="s">
        <v>172</v>
      </c>
      <c r="C12" s="16" t="s">
        <v>46</v>
      </c>
      <c r="D12" s="16" t="s">
        <v>47</v>
      </c>
      <c r="E12" s="16" t="s">
        <v>48</v>
      </c>
      <c r="F12" s="13">
        <v>46240</v>
      </c>
      <c r="G12" s="15" t="s">
        <v>131</v>
      </c>
      <c r="H12" s="17" t="s">
        <v>133</v>
      </c>
      <c r="I12" s="16"/>
    </row>
    <row r="13" spans="1:9" ht="26.4" x14ac:dyDescent="0.3">
      <c r="A13" s="11">
        <v>13</v>
      </c>
      <c r="B13" s="12" t="s">
        <v>173</v>
      </c>
      <c r="C13" s="12" t="s">
        <v>49</v>
      </c>
      <c r="D13" s="12" t="s">
        <v>50</v>
      </c>
      <c r="E13" s="12" t="s">
        <v>51</v>
      </c>
      <c r="F13" s="13">
        <v>46240</v>
      </c>
      <c r="G13" s="11" t="s">
        <v>131</v>
      </c>
      <c r="H13" s="17" t="s">
        <v>133</v>
      </c>
      <c r="I13" s="12"/>
    </row>
    <row r="14" spans="1:9" ht="39.6" x14ac:dyDescent="0.3">
      <c r="A14" s="15">
        <v>14</v>
      </c>
      <c r="B14" s="16" t="s">
        <v>174</v>
      </c>
      <c r="C14" s="16" t="s">
        <v>53</v>
      </c>
      <c r="D14" s="16" t="s">
        <v>54</v>
      </c>
      <c r="E14" s="16" t="s">
        <v>55</v>
      </c>
      <c r="F14" s="13">
        <v>46240</v>
      </c>
      <c r="G14" s="15" t="s">
        <v>131</v>
      </c>
      <c r="H14" s="17" t="s">
        <v>133</v>
      </c>
      <c r="I14" s="16"/>
    </row>
    <row r="15" spans="1:9" ht="26.4" x14ac:dyDescent="0.3">
      <c r="A15" s="15">
        <v>15</v>
      </c>
      <c r="B15" s="16" t="s">
        <v>175</v>
      </c>
      <c r="C15" s="16" t="s">
        <v>56</v>
      </c>
      <c r="D15" s="16" t="s">
        <v>57</v>
      </c>
      <c r="E15" s="16" t="s">
        <v>58</v>
      </c>
      <c r="F15" s="13">
        <v>46240</v>
      </c>
      <c r="G15" s="15" t="s">
        <v>131</v>
      </c>
      <c r="H15" s="17" t="s">
        <v>133</v>
      </c>
      <c r="I15" s="16"/>
    </row>
    <row r="16" spans="1:9" ht="26.4" x14ac:dyDescent="0.3">
      <c r="A16" s="11">
        <v>16</v>
      </c>
      <c r="B16" s="12" t="s">
        <v>176</v>
      </c>
      <c r="C16" s="12" t="s">
        <v>59</v>
      </c>
      <c r="D16" s="12" t="s">
        <v>60</v>
      </c>
      <c r="E16" s="12" t="s">
        <v>61</v>
      </c>
      <c r="F16" s="13">
        <v>46240</v>
      </c>
      <c r="G16" s="11" t="s">
        <v>131</v>
      </c>
      <c r="H16" s="17" t="s">
        <v>133</v>
      </c>
      <c r="I16" s="12"/>
    </row>
    <row r="17" spans="1:9" ht="26.4" x14ac:dyDescent="0.3">
      <c r="A17" s="15">
        <v>17</v>
      </c>
      <c r="B17" s="16" t="s">
        <v>177</v>
      </c>
      <c r="C17" s="16" t="s">
        <v>62</v>
      </c>
      <c r="D17" s="16" t="s">
        <v>63</v>
      </c>
      <c r="E17" s="16" t="s">
        <v>64</v>
      </c>
      <c r="F17" s="13">
        <v>46240</v>
      </c>
      <c r="G17" s="15" t="s">
        <v>131</v>
      </c>
      <c r="H17" s="17" t="s">
        <v>133</v>
      </c>
      <c r="I17" s="16"/>
    </row>
    <row r="18" spans="1:9" ht="26.4" x14ac:dyDescent="0.3">
      <c r="A18" s="11">
        <v>18</v>
      </c>
      <c r="B18" s="12" t="s">
        <v>178</v>
      </c>
      <c r="C18" s="12" t="s">
        <v>65</v>
      </c>
      <c r="D18" s="12" t="s">
        <v>66</v>
      </c>
      <c r="E18" s="12" t="s">
        <v>67</v>
      </c>
      <c r="F18" s="13">
        <v>46240</v>
      </c>
      <c r="G18" s="11" t="s">
        <v>131</v>
      </c>
      <c r="H18" s="17" t="s">
        <v>133</v>
      </c>
      <c r="I18" s="12"/>
    </row>
    <row r="19" spans="1:9" ht="26.4" x14ac:dyDescent="0.3">
      <c r="A19" s="15">
        <v>19</v>
      </c>
      <c r="B19" s="16" t="s">
        <v>179</v>
      </c>
      <c r="C19" s="16" t="s">
        <v>68</v>
      </c>
      <c r="D19" s="16" t="s">
        <v>69</v>
      </c>
      <c r="E19" s="16" t="s">
        <v>70</v>
      </c>
      <c r="F19" s="13">
        <v>46240</v>
      </c>
      <c r="G19" s="15" t="s">
        <v>131</v>
      </c>
      <c r="H19" s="17" t="s">
        <v>133</v>
      </c>
      <c r="I19" s="16"/>
    </row>
    <row r="20" spans="1:9" ht="26.4" x14ac:dyDescent="0.3">
      <c r="A20" s="11">
        <v>20</v>
      </c>
      <c r="B20" s="12" t="s">
        <v>180</v>
      </c>
      <c r="C20" s="12" t="s">
        <v>71</v>
      </c>
      <c r="D20" s="12" t="s">
        <v>72</v>
      </c>
      <c r="E20" s="12" t="s">
        <v>73</v>
      </c>
      <c r="F20" s="13">
        <v>46240</v>
      </c>
      <c r="G20" s="11" t="s">
        <v>131</v>
      </c>
      <c r="H20" s="17" t="s">
        <v>133</v>
      </c>
      <c r="I20" s="12"/>
    </row>
    <row r="21" spans="1:9" ht="26.4" x14ac:dyDescent="0.3">
      <c r="A21" s="15">
        <v>21</v>
      </c>
      <c r="B21" s="16" t="s">
        <v>181</v>
      </c>
      <c r="C21" s="16" t="s">
        <v>74</v>
      </c>
      <c r="D21" s="16" t="s">
        <v>75</v>
      </c>
      <c r="E21" s="16" t="s">
        <v>76</v>
      </c>
      <c r="F21" s="13">
        <v>46240</v>
      </c>
      <c r="G21" s="15" t="s">
        <v>131</v>
      </c>
      <c r="H21" s="17" t="s">
        <v>133</v>
      </c>
      <c r="I21" s="16"/>
    </row>
    <row r="22" spans="1:9" ht="26.4" x14ac:dyDescent="0.3">
      <c r="A22" s="11">
        <v>22</v>
      </c>
      <c r="B22" s="12" t="s">
        <v>182</v>
      </c>
      <c r="C22" s="12" t="s">
        <v>77</v>
      </c>
      <c r="D22" s="12" t="s">
        <v>78</v>
      </c>
      <c r="E22" s="12" t="s">
        <v>79</v>
      </c>
      <c r="F22" s="13">
        <v>46240</v>
      </c>
      <c r="G22" s="11" t="s">
        <v>131</v>
      </c>
      <c r="H22" s="17" t="s">
        <v>133</v>
      </c>
      <c r="I22" s="12"/>
    </row>
    <row r="23" spans="1:9" ht="26.4" x14ac:dyDescent="0.3">
      <c r="A23" s="15">
        <v>23</v>
      </c>
      <c r="B23" s="16" t="s">
        <v>183</v>
      </c>
      <c r="C23" s="16" t="s">
        <v>80</v>
      </c>
      <c r="D23" s="16" t="s">
        <v>81</v>
      </c>
      <c r="E23" s="16" t="s">
        <v>82</v>
      </c>
      <c r="F23" s="13">
        <v>46240</v>
      </c>
      <c r="G23" s="15" t="s">
        <v>131</v>
      </c>
      <c r="H23" s="17" t="s">
        <v>133</v>
      </c>
      <c r="I23" s="16"/>
    </row>
    <row r="24" spans="1:9" ht="39.6" x14ac:dyDescent="0.3">
      <c r="A24" s="18">
        <v>24</v>
      </c>
      <c r="B24" s="19" t="s">
        <v>184</v>
      </c>
      <c r="C24" s="19" t="s">
        <v>135</v>
      </c>
      <c r="D24" s="19" t="s">
        <v>136</v>
      </c>
      <c r="E24" s="19" t="s">
        <v>137</v>
      </c>
      <c r="F24" s="13">
        <v>46301</v>
      </c>
      <c r="G24" s="18" t="s">
        <v>131</v>
      </c>
      <c r="H24" s="17" t="s">
        <v>133</v>
      </c>
      <c r="I24" s="20"/>
    </row>
    <row r="25" spans="1:9" ht="39.6" x14ac:dyDescent="0.3">
      <c r="A25" s="15">
        <v>25</v>
      </c>
      <c r="B25" s="16" t="s">
        <v>185</v>
      </c>
      <c r="C25" s="16" t="s">
        <v>138</v>
      </c>
      <c r="D25" s="16" t="s">
        <v>139</v>
      </c>
      <c r="E25" s="16" t="s">
        <v>140</v>
      </c>
      <c r="F25" s="13">
        <v>46301</v>
      </c>
      <c r="G25" s="15" t="s">
        <v>131</v>
      </c>
      <c r="H25" s="17" t="s">
        <v>133</v>
      </c>
      <c r="I25" s="21"/>
    </row>
    <row r="26" spans="1:9" ht="39.6" x14ac:dyDescent="0.3">
      <c r="A26" s="18">
        <v>26</v>
      </c>
      <c r="B26" s="19" t="s">
        <v>186</v>
      </c>
      <c r="C26" s="19" t="s">
        <v>141</v>
      </c>
      <c r="D26" s="19" t="s">
        <v>142</v>
      </c>
      <c r="E26" s="19" t="s">
        <v>143</v>
      </c>
      <c r="F26" s="13">
        <v>46301</v>
      </c>
      <c r="G26" s="18" t="s">
        <v>131</v>
      </c>
      <c r="H26" s="17" t="s">
        <v>133</v>
      </c>
      <c r="I26" s="20"/>
    </row>
    <row r="27" spans="1:9" ht="26.4" x14ac:dyDescent="0.3">
      <c r="A27" s="15">
        <v>27</v>
      </c>
      <c r="B27" s="16" t="s">
        <v>187</v>
      </c>
      <c r="C27" s="16" t="s">
        <v>144</v>
      </c>
      <c r="D27" s="16" t="s">
        <v>145</v>
      </c>
      <c r="E27" s="16" t="s">
        <v>146</v>
      </c>
      <c r="F27" s="13">
        <v>46301</v>
      </c>
      <c r="G27" s="15" t="s">
        <v>131</v>
      </c>
      <c r="H27" s="17" t="s">
        <v>133</v>
      </c>
      <c r="I27" s="21"/>
    </row>
    <row r="28" spans="1:9" ht="26.4" x14ac:dyDescent="0.3">
      <c r="A28" s="18">
        <v>28</v>
      </c>
      <c r="B28" s="19" t="s">
        <v>188</v>
      </c>
      <c r="C28" s="19" t="s">
        <v>147</v>
      </c>
      <c r="D28" s="19" t="s">
        <v>148</v>
      </c>
      <c r="E28" s="19" t="s">
        <v>149</v>
      </c>
      <c r="F28" s="13">
        <v>46301</v>
      </c>
      <c r="G28" s="18" t="s">
        <v>131</v>
      </c>
      <c r="H28" s="17" t="s">
        <v>133</v>
      </c>
      <c r="I28" s="20"/>
    </row>
    <row r="29" spans="1:9" ht="39.6" x14ac:dyDescent="0.3">
      <c r="A29" s="18">
        <v>30</v>
      </c>
      <c r="B29" s="19" t="s">
        <v>189</v>
      </c>
      <c r="C29" s="19" t="s">
        <v>156</v>
      </c>
      <c r="D29" s="19" t="s">
        <v>157</v>
      </c>
      <c r="E29" s="19" t="s">
        <v>158</v>
      </c>
      <c r="F29" s="13">
        <v>46301</v>
      </c>
      <c r="G29" s="18" t="s">
        <v>131</v>
      </c>
      <c r="H29" s="17" t="s">
        <v>133</v>
      </c>
      <c r="I29" s="20"/>
    </row>
    <row r="30" spans="1:9" ht="39.6" x14ac:dyDescent="0.3">
      <c r="A30" s="15">
        <v>31</v>
      </c>
      <c r="B30" s="16" t="s">
        <v>190</v>
      </c>
      <c r="C30" s="16" t="s">
        <v>159</v>
      </c>
      <c r="D30" s="16" t="s">
        <v>160</v>
      </c>
      <c r="E30" s="16" t="s">
        <v>161</v>
      </c>
      <c r="F30" s="13">
        <v>46301</v>
      </c>
      <c r="G30" s="15" t="s">
        <v>131</v>
      </c>
      <c r="H30" s="17" t="s">
        <v>133</v>
      </c>
      <c r="I30" s="21"/>
    </row>
    <row r="31" spans="1:9" ht="26.4" x14ac:dyDescent="0.3">
      <c r="A31" s="15"/>
      <c r="B31" s="16" t="s">
        <v>194</v>
      </c>
      <c r="C31" s="16" t="s">
        <v>195</v>
      </c>
      <c r="D31" s="16" t="s">
        <v>196</v>
      </c>
      <c r="E31" s="16" t="s">
        <v>13</v>
      </c>
      <c r="F31" s="13"/>
      <c r="G31" s="15" t="s">
        <v>131</v>
      </c>
      <c r="H31" s="17" t="s">
        <v>133</v>
      </c>
      <c r="I31" s="21"/>
    </row>
    <row r="32" spans="1:9" ht="25.2" customHeight="1" x14ac:dyDescent="0.3">
      <c r="A32" s="15"/>
      <c r="B32" s="16" t="s">
        <v>197</v>
      </c>
      <c r="C32" s="16" t="s">
        <v>198</v>
      </c>
      <c r="D32" s="16" t="s">
        <v>199</v>
      </c>
      <c r="E32" s="16"/>
      <c r="F32" s="13"/>
      <c r="G32" s="15" t="s">
        <v>131</v>
      </c>
      <c r="H32" s="17" t="s">
        <v>133</v>
      </c>
      <c r="I32" s="21"/>
    </row>
    <row r="33" spans="1:9" ht="26.4" x14ac:dyDescent="0.3">
      <c r="A33" s="11">
        <v>6</v>
      </c>
      <c r="B33" s="12" t="s">
        <v>162</v>
      </c>
      <c r="C33" s="12" t="s">
        <v>23</v>
      </c>
      <c r="D33" s="12" t="s">
        <v>24</v>
      </c>
      <c r="E33" s="12" t="s">
        <v>25</v>
      </c>
      <c r="F33" s="13">
        <v>46240</v>
      </c>
      <c r="G33" s="11" t="s">
        <v>10</v>
      </c>
      <c r="H33" s="17" t="s">
        <v>133</v>
      </c>
      <c r="I33" s="12"/>
    </row>
    <row r="34" spans="1:9" ht="39.6" x14ac:dyDescent="0.3">
      <c r="A34" s="18">
        <v>32</v>
      </c>
      <c r="B34" s="19" t="s">
        <v>191</v>
      </c>
      <c r="C34" s="19" t="s">
        <v>150</v>
      </c>
      <c r="D34" s="19" t="s">
        <v>151</v>
      </c>
      <c r="E34" s="19" t="s">
        <v>152</v>
      </c>
      <c r="F34" s="13">
        <v>46301</v>
      </c>
      <c r="G34" s="18" t="s">
        <v>10</v>
      </c>
      <c r="H34" s="22"/>
      <c r="I34" s="20"/>
    </row>
    <row r="35" spans="1:9" ht="39.6" x14ac:dyDescent="0.3">
      <c r="A35" s="15">
        <v>29</v>
      </c>
      <c r="B35" s="16" t="s">
        <v>192</v>
      </c>
      <c r="C35" s="16" t="s">
        <v>153</v>
      </c>
      <c r="D35" s="16" t="s">
        <v>154</v>
      </c>
      <c r="E35" s="16" t="s">
        <v>155</v>
      </c>
      <c r="F35" s="13">
        <v>46301</v>
      </c>
      <c r="G35" s="15" t="s">
        <v>10</v>
      </c>
      <c r="H35" s="22"/>
      <c r="I35" s="21"/>
    </row>
    <row r="36" spans="1:9" ht="39.6" x14ac:dyDescent="0.3">
      <c r="A36" s="11">
        <v>8</v>
      </c>
      <c r="B36" s="12" t="s">
        <v>193</v>
      </c>
      <c r="C36" s="12" t="s">
        <v>31</v>
      </c>
      <c r="D36" s="12" t="s">
        <v>32</v>
      </c>
      <c r="E36" s="12" t="s">
        <v>33</v>
      </c>
      <c r="F36" s="13">
        <v>46240</v>
      </c>
      <c r="G36" s="11" t="s">
        <v>10</v>
      </c>
      <c r="H36" s="14"/>
      <c r="I36" s="12"/>
    </row>
  </sheetData>
  <autoFilter ref="A2:I23" xr:uid="{00000000-0009-0000-0000-000000000000}"/>
  <mergeCells count="1">
    <mergeCell ref="A1:I1"/>
  </mergeCells>
  <dataValidations count="2">
    <dataValidation type="list" allowBlank="1" sqref="H36 H3:H33" xr:uid="{00000000-0002-0000-0000-000001000000}">
      <formula1>"Pass,Fail,N/A"</formula1>
      <formula2>0</formula2>
    </dataValidation>
    <dataValidation type="list" allowBlank="1" sqref="G3:G36" xr:uid="{00000000-0002-0000-0000-000000000000}">
      <formula1>"Not Started,In Progress,Completed,Blocked"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0"/>
  <sheetViews>
    <sheetView zoomScaleNormal="100" workbookViewId="0">
      <pane ySplit="2" topLeftCell="A3" activePane="bottomLeft" state="frozen"/>
      <selection pane="bottomLeft" activeCell="D9" sqref="D9"/>
    </sheetView>
  </sheetViews>
  <sheetFormatPr defaultColWidth="8.6640625" defaultRowHeight="14.4" x14ac:dyDescent="0.3"/>
  <cols>
    <col min="1" max="1" width="10" customWidth="1"/>
    <col min="2" max="2" width="16" customWidth="1"/>
    <col min="3" max="3" width="52" customWidth="1"/>
    <col min="4" max="4" width="60" customWidth="1"/>
    <col min="5" max="5" width="13" customWidth="1"/>
    <col min="6" max="6" width="18" customWidth="1"/>
    <col min="7" max="7" width="14" customWidth="1"/>
    <col min="8" max="8" width="10" customWidth="1"/>
    <col min="9" max="9" width="28" customWidth="1"/>
  </cols>
  <sheetData>
    <row r="1" spans="1:9" ht="25.5" customHeight="1" x14ac:dyDescent="0.3">
      <c r="A1" s="23" t="s">
        <v>83</v>
      </c>
      <c r="B1" s="23"/>
      <c r="C1" s="23"/>
      <c r="D1" s="23"/>
      <c r="E1" s="23"/>
      <c r="F1" s="23"/>
      <c r="G1" s="23"/>
      <c r="H1" s="23"/>
      <c r="I1" s="23"/>
    </row>
    <row r="2" spans="1:9" ht="31.5" customHeight="1" x14ac:dyDescent="0.3">
      <c r="A2" s="1" t="s">
        <v>84</v>
      </c>
      <c r="B2" s="1" t="s">
        <v>85</v>
      </c>
      <c r="C2" s="1" t="s">
        <v>86</v>
      </c>
      <c r="D2" s="1" t="s">
        <v>87</v>
      </c>
      <c r="E2" s="1" t="s">
        <v>6</v>
      </c>
      <c r="F2" s="1" t="s">
        <v>88</v>
      </c>
      <c r="G2" s="1" t="s">
        <v>7</v>
      </c>
      <c r="H2" s="1" t="s">
        <v>8</v>
      </c>
      <c r="I2" s="1" t="s">
        <v>9</v>
      </c>
    </row>
    <row r="3" spans="1:9" ht="26.4" x14ac:dyDescent="0.3">
      <c r="A3" s="2" t="s">
        <v>89</v>
      </c>
      <c r="B3" s="2" t="s">
        <v>90</v>
      </c>
      <c r="C3" s="3" t="s">
        <v>91</v>
      </c>
      <c r="D3" s="3" t="s">
        <v>92</v>
      </c>
      <c r="E3" s="2"/>
      <c r="F3" s="2"/>
      <c r="G3" s="2" t="s">
        <v>10</v>
      </c>
      <c r="H3" s="2"/>
      <c r="I3" s="3"/>
    </row>
    <row r="4" spans="1:9" ht="26.4" x14ac:dyDescent="0.3">
      <c r="A4" s="4" t="s">
        <v>93</v>
      </c>
      <c r="B4" s="4" t="s">
        <v>90</v>
      </c>
      <c r="C4" s="5" t="s">
        <v>94</v>
      </c>
      <c r="D4" s="5" t="s">
        <v>95</v>
      </c>
      <c r="E4" s="4"/>
      <c r="F4" s="4"/>
      <c r="G4" s="4" t="s">
        <v>10</v>
      </c>
      <c r="H4" s="4"/>
      <c r="I4" s="5"/>
    </row>
    <row r="5" spans="1:9" ht="26.4" x14ac:dyDescent="0.3">
      <c r="A5" s="2" t="s">
        <v>96</v>
      </c>
      <c r="B5" s="2" t="s">
        <v>90</v>
      </c>
      <c r="C5" s="3" t="s">
        <v>97</v>
      </c>
      <c r="D5" s="3" t="s">
        <v>98</v>
      </c>
      <c r="E5" s="2"/>
      <c r="F5" s="2"/>
      <c r="G5" s="2" t="s">
        <v>10</v>
      </c>
      <c r="H5" s="2"/>
      <c r="I5" s="3"/>
    </row>
    <row r="6" spans="1:9" ht="39.6" x14ac:dyDescent="0.3">
      <c r="A6" s="4" t="s">
        <v>99</v>
      </c>
      <c r="B6" s="4" t="s">
        <v>100</v>
      </c>
      <c r="C6" s="5" t="s">
        <v>101</v>
      </c>
      <c r="D6" s="5" t="s">
        <v>102</v>
      </c>
      <c r="E6" s="4"/>
      <c r="F6" s="4"/>
      <c r="G6" s="4" t="s">
        <v>10</v>
      </c>
      <c r="H6" s="4"/>
      <c r="I6" s="5"/>
    </row>
    <row r="7" spans="1:9" ht="39.6" x14ac:dyDescent="0.3">
      <c r="A7" s="2" t="s">
        <v>103</v>
      </c>
      <c r="B7" s="2" t="s">
        <v>100</v>
      </c>
      <c r="C7" s="3" t="s">
        <v>104</v>
      </c>
      <c r="D7" s="3" t="s">
        <v>105</v>
      </c>
      <c r="E7" s="2"/>
      <c r="F7" s="2"/>
      <c r="G7" s="2" t="s">
        <v>10</v>
      </c>
      <c r="H7" s="2"/>
      <c r="I7" s="3"/>
    </row>
    <row r="8" spans="1:9" ht="26.4" x14ac:dyDescent="0.3">
      <c r="A8" s="4" t="s">
        <v>106</v>
      </c>
      <c r="B8" s="4" t="s">
        <v>100</v>
      </c>
      <c r="C8" s="5" t="s">
        <v>107</v>
      </c>
      <c r="D8" s="5" t="s">
        <v>52</v>
      </c>
      <c r="E8" s="4"/>
      <c r="F8" s="4"/>
      <c r="G8" s="4" t="s">
        <v>10</v>
      </c>
      <c r="H8" s="4"/>
      <c r="I8" s="5"/>
    </row>
    <row r="9" spans="1:9" ht="39.6" x14ac:dyDescent="0.3">
      <c r="A9" s="2" t="s">
        <v>108</v>
      </c>
      <c r="B9" s="2" t="s">
        <v>109</v>
      </c>
      <c r="C9" s="3" t="s">
        <v>110</v>
      </c>
      <c r="D9" s="3" t="s">
        <v>111</v>
      </c>
      <c r="E9" s="2"/>
      <c r="F9" s="2"/>
      <c r="G9" s="2" t="s">
        <v>10</v>
      </c>
      <c r="H9" s="2"/>
      <c r="I9" s="3"/>
    </row>
    <row r="10" spans="1:9" ht="26.4" x14ac:dyDescent="0.3">
      <c r="A10" s="4" t="s">
        <v>112</v>
      </c>
      <c r="B10" s="4" t="s">
        <v>109</v>
      </c>
      <c r="C10" s="5" t="s">
        <v>113</v>
      </c>
      <c r="D10" s="5" t="s">
        <v>114</v>
      </c>
      <c r="E10" s="4"/>
      <c r="F10" s="4"/>
      <c r="G10" s="4" t="s">
        <v>10</v>
      </c>
      <c r="H10" s="4"/>
      <c r="I10" s="5"/>
    </row>
    <row r="11" spans="1:9" x14ac:dyDescent="0.3">
      <c r="A11" s="2" t="s">
        <v>115</v>
      </c>
      <c r="B11" s="2" t="s">
        <v>109</v>
      </c>
      <c r="C11" s="3" t="s">
        <v>116</v>
      </c>
      <c r="D11" s="3" t="s">
        <v>26</v>
      </c>
      <c r="E11" s="2"/>
      <c r="F11" s="2"/>
      <c r="G11" s="2" t="s">
        <v>10</v>
      </c>
      <c r="H11" s="2"/>
      <c r="I11" s="3"/>
    </row>
    <row r="12" spans="1:9" x14ac:dyDescent="0.3">
      <c r="A12" s="4" t="s">
        <v>117</v>
      </c>
      <c r="B12" s="4" t="s">
        <v>118</v>
      </c>
      <c r="C12" s="5" t="s">
        <v>119</v>
      </c>
      <c r="D12" s="5" t="s">
        <v>22</v>
      </c>
      <c r="E12" s="4"/>
      <c r="F12" s="4"/>
      <c r="G12" s="4" t="s">
        <v>10</v>
      </c>
      <c r="H12" s="4"/>
      <c r="I12" s="5"/>
    </row>
    <row r="13" spans="1:9" ht="26.4" x14ac:dyDescent="0.3">
      <c r="A13" s="2" t="s">
        <v>120</v>
      </c>
      <c r="B13" s="2" t="s">
        <v>121</v>
      </c>
      <c r="C13" s="3" t="s">
        <v>122</v>
      </c>
      <c r="D13" s="3" t="s">
        <v>123</v>
      </c>
      <c r="E13" s="2"/>
      <c r="F13" s="2"/>
      <c r="G13" s="2" t="s">
        <v>10</v>
      </c>
      <c r="H13" s="2"/>
      <c r="I13" s="3"/>
    </row>
    <row r="14" spans="1:9" ht="26.4" x14ac:dyDescent="0.3">
      <c r="A14" s="4" t="s">
        <v>124</v>
      </c>
      <c r="B14" s="4" t="s">
        <v>125</v>
      </c>
      <c r="C14" s="5" t="s">
        <v>126</v>
      </c>
      <c r="D14" s="5" t="s">
        <v>30</v>
      </c>
      <c r="E14" s="4"/>
      <c r="F14" s="4"/>
      <c r="G14" s="4" t="s">
        <v>10</v>
      </c>
      <c r="H14" s="4"/>
      <c r="I14" s="5"/>
    </row>
    <row r="16" spans="1:9" x14ac:dyDescent="0.3">
      <c r="B16" s="6" t="s">
        <v>127</v>
      </c>
    </row>
    <row r="17" spans="2:3" x14ac:dyDescent="0.3">
      <c r="B17" s="7" t="s">
        <v>128</v>
      </c>
      <c r="C17" s="7">
        <f>COUNTA(A3:A14)</f>
        <v>12</v>
      </c>
    </row>
    <row r="18" spans="2:3" x14ac:dyDescent="0.3">
      <c r="B18" s="7" t="s">
        <v>129</v>
      </c>
      <c r="C18" s="7">
        <f>COUNTIF(H3:H14,"Pass")</f>
        <v>0</v>
      </c>
    </row>
    <row r="19" spans="2:3" x14ac:dyDescent="0.3">
      <c r="B19" s="7" t="s">
        <v>130</v>
      </c>
      <c r="C19" s="7">
        <f>COUNTIF(H3:H14,"Fail")</f>
        <v>0</v>
      </c>
    </row>
    <row r="20" spans="2:3" x14ac:dyDescent="0.3">
      <c r="B20" s="7" t="s">
        <v>131</v>
      </c>
      <c r="C20" s="7">
        <f>COUNTIF(G3:G14,"Completed")</f>
        <v>0</v>
      </c>
    </row>
  </sheetData>
  <autoFilter ref="A2:I14" xr:uid="{00000000-0009-0000-0000-000001000000}"/>
  <mergeCells count="1">
    <mergeCell ref="A1:I1"/>
  </mergeCells>
  <dataValidations count="2">
    <dataValidation type="list" allowBlank="1" sqref="G3:G14" xr:uid="{00000000-0002-0000-0100-000000000000}">
      <formula1>"Not Started,In Progress,Completed,Blocked"</formula1>
      <formula2>0</formula2>
    </dataValidation>
    <dataValidation type="list" allowBlank="1" sqref="H3:H14" xr:uid="{00000000-0002-0000-0100-000001000000}">
      <formula1>"Pass,Fail,N/A"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Testcases</vt:lpstr>
      <vt:lpstr>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DUNG NGUYEN</cp:lastModifiedBy>
  <cp:revision>0</cp:revision>
  <dcterms:created xsi:type="dcterms:W3CDTF">2026-06-09T03:50:14Z</dcterms:created>
  <dcterms:modified xsi:type="dcterms:W3CDTF">2026-06-19T04:42:30Z</dcterms:modified>
  <dc:language>en-US</dc:language>
</cp:coreProperties>
</file>