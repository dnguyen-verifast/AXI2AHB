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cases" sheetId="1" state="visible" r:id="rId3"/>
    <sheet name="Checklist" sheetId="2" state="visible" r:id="rId4"/>
  </sheets>
  <definedNames>
    <definedName function="false" hidden="true" localSheetId="1" name="_xlnm._FilterDatabase" vbProcedure="false">Checklist!$A$2:$I$14</definedName>
    <definedName function="false" hidden="true" localSheetId="0" name="_xlnm._FilterDatabase" vbProcedure="false">Testcases!$A$2:$I$29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<sst xmlns="http://schemas.openxmlformats.org/spreadsheetml/2006/main" count="220" uniqueCount="168">
  <si>
    <t xml:space="preserve">AXI4-to-AHB-Lite Bridge - Verification Test Cases</t>
  </si>
  <si>
    <t xml:space="preserve">No.</t>
  </si>
  <si>
    <t xml:space="preserve">Test Case ID / Name</t>
  </si>
  <si>
    <t xml:space="preserve">Test Description</t>
  </si>
  <si>
    <t xml:space="preserve">Objective / Expected Result</t>
  </si>
  <si>
    <t xml:space="preserve">Affected Signals (AXI4 / AHB-Lite)</t>
  </si>
  <si>
    <t xml:space="preserve">Start Date</t>
  </si>
  <si>
    <t xml:space="preserve">Status</t>
  </si>
  <si>
    <t xml:space="preserve">Result</t>
  </si>
  <si>
    <t xml:space="preserve">Notes</t>
  </si>
  <si>
    <t xml:space="preserve">axi4_blocking_write_read_test</t>
  </si>
  <si>
    <t xml:space="preserve">Basic blocking write followed by read on the same address through the bridge.</t>
  </si>
  <si>
    <t xml:space="preserve">Verify a single AXI4 write transaction is correctly translated to AHB-Lite and the value can be read back identically.</t>
  </si>
  <si>
    <t xml:space="preserve">AWADDR, AWVALID/READY, WDATA, WVALID/READY, BRESP, ARADDR, RDATA, RRESP / HADDR, HWRITE, HWDATA, HRDATA, HTRANS</t>
  </si>
  <si>
    <t xml:space="preserve">Not Started</t>
  </si>
  <si>
    <t xml:space="preserve">axi4_blocking_write_read_rand_test</t>
  </si>
  <si>
    <t xml:space="preserve">Randomized blocking write/read with random addresses, lengths and data.</t>
  </si>
  <si>
    <t xml:space="preserve">Stress the address/data translation logic with randomized stimulus to expose corner-case mapping errors.</t>
  </si>
  <si>
    <t xml:space="preserve">AWADDR, AWLEN, WDATA, WSTRB, ARADDR, RDATA / HADDR, HBURST, HWDATA, HRDATA</t>
  </si>
  <si>
    <t xml:space="preserve">axi4_blocking_wrap_burst_write_test</t>
  </si>
  <si>
    <t xml:space="preserve">Blocking WRAP burst write transaction.</t>
  </si>
  <si>
    <t xml:space="preserve">Verify AXI4 WRAP burst writes are correctly unrolled into AHB-Lite single/INCR accesses with proper address wrapping.</t>
  </si>
  <si>
    <t xml:space="preserve">AWBURST(=WRAP), AWLEN, AWSIZE, WDATA, WLAST / HADDR, HBURST, HWRITE, HTRANS</t>
  </si>
  <si>
    <t xml:space="preserve">axi4_blocking_wrap_burst_write_read_test</t>
  </si>
  <si>
    <t xml:space="preserve">Blocking WRAP burst write then read back.</t>
  </si>
  <si>
    <t xml:space="preserve">Confirm WRAP burst write data is stored at wrapped addresses and read back correctly through the bridge.</t>
  </si>
  <si>
    <t xml:space="preserve">AWBURST(=WRAP), WDATA, ARBURST(=WRAP), RDATA / HADDR, HBURST, HRDATA</t>
  </si>
  <si>
    <t xml:space="preserve">axi4_blocking_wrap_burst_read_test</t>
  </si>
  <si>
    <t xml:space="preserve">Blocking WRAP burst read transaction.</t>
  </si>
  <si>
    <t xml:space="preserve">Verify AXI4 WRAP burst read returns data in correct wrapped order from AHB-Lite slave.</t>
  </si>
  <si>
    <t xml:space="preserve">ARBURST(=WRAP), ARLEN, ARSIZE, RDATA, RLAST / HADDR, HBURST, HRDATA, HREADY</t>
  </si>
  <si>
    <t xml:space="preserve">axi4_blocking_unaligned_addr_write_read_test</t>
  </si>
  <si>
    <t xml:space="preserve">Write/read using addresses not aligned to the transfer size.</t>
  </si>
  <si>
    <t xml:space="preserve">Verify the bridge correctly handles unaligned AXI4 addresses and maps them to legal AHB-Lite accesses.</t>
  </si>
  <si>
    <t xml:space="preserve">AWADDR, AWSIZE, WSTRB, ARADDR, RDATA / HADDR, HSIZE, HWDATA, HRDATA</t>
  </si>
  <si>
    <t xml:space="preserve">axi4_blocking_slave_error_write_read_test</t>
  </si>
  <si>
    <t xml:space="preserve">Transaction where the AHB-Lite slave returns an error response.</t>
  </si>
  <si>
    <t xml:space="preserve">Verify an AHB-Lite HRESP error is correctly translated back to the AXI4 SLVERR response.</t>
  </si>
  <si>
    <t xml:space="preserve">BRESP(=SLVERR), RRESP(=SLVERR) / HRESP(=ERROR), HREADY</t>
  </si>
  <si>
    <t xml:space="preserve">axi4_blocking_outstanding_transfer_write_read_test</t>
  </si>
  <si>
    <t xml:space="preserve">Multiple outstanding write/read transactions issued before completion.</t>
  </si>
  <si>
    <t xml:space="preserve">Verify the bridge correctly serializes AXI4 outstanding transactions onto the single-pipeline AHB-Lite interface without data loss.</t>
  </si>
  <si>
    <t xml:space="preserve">AWVALID, AWREADY, ARVALID, ARREADY, BID, RID / HTRANS, HREADY, HADDR</t>
  </si>
  <si>
    <t xml:space="preserve">axi4_blocking_okay_response_write_test</t>
  </si>
  <si>
    <t xml:space="preserve">Write transaction expected to complete with OKAY response.</t>
  </si>
  <si>
    <t xml:space="preserve">Verify a normal write returns AXI4 OKAY (BRESP=2'b00) when AHB-Lite completes successfully.</t>
  </si>
  <si>
    <t xml:space="preserve">AWADDR, WDATA, BRESP(=OKAY) / HRESP(=OKAY), HREADY</t>
  </si>
  <si>
    <t xml:space="preserve">axi4_blocking_okay_response_write_read_test</t>
  </si>
  <si>
    <t xml:space="preserve">Write then read both expected to return OKAY response.</t>
  </si>
  <si>
    <t xml:space="preserve">Verify both write and read paths return AXI4 OKAY when the AHB-Lite slave responds normally.</t>
  </si>
  <si>
    <t xml:space="preserve">BRESP(=OKAY), RRESP(=OKAY) / HRESP(=OKAY), HREADY</t>
  </si>
  <si>
    <t xml:space="preserve">axi4_blocking_okay_response_read_test</t>
  </si>
  <si>
    <t xml:space="preserve">Read transaction expected to complete with OKAY response.</t>
  </si>
  <si>
    <t xml:space="preserve">Verify a normal read returns AXI4 OKAY (RRESP=2'b00) when AHB-Lite completes successfully.</t>
  </si>
  <si>
    <t xml:space="preserve">ARADDR, RDATA, RRESP(=OKAY) / HRESP(=OKAY), HRDATA, HREADY</t>
  </si>
  <si>
    <t xml:space="preserve">axi4_blocking_incr_burst_write_test</t>
  </si>
  <si>
    <t xml:space="preserve">Blocking INCR burst write transaction.</t>
  </si>
  <si>
    <t xml:space="preserve">Verify AXI4 INCR burst writes are translated to sequential incrementing AHB-Lite accesses.</t>
  </si>
  <si>
    <t xml:space="preserve">AWBURST(=INCR), AWLEN, WDATA, WLAST / HADDR(incrementing), HBURST(=INCR), HTRANS(SEQ/NONSEQ)</t>
  </si>
  <si>
    <t xml:space="preserve">axi4_blocking_incr_burst_write_read_test</t>
  </si>
  <si>
    <t xml:space="preserve">Blocking INCR burst write then read back.</t>
  </si>
  <si>
    <t xml:space="preserve">Confirm INCR burst write data is stored and read back in correct incrementing order.</t>
  </si>
  <si>
    <t xml:space="preserve">AWBURST(=INCR), WDATA, ARBURST(=INCR), RDATA / HADDR, HBURST, HRDATA</t>
  </si>
  <si>
    <t xml:space="preserve">axi4_blocking_incr_burst_read_test</t>
  </si>
  <si>
    <t xml:space="preserve">Blocking INCR burst read transaction.</t>
  </si>
  <si>
    <t xml:space="preserve">Verify AXI4 INCR burst read returns data in correct incrementing address order.</t>
  </si>
  <si>
    <t xml:space="preserve">ARBURST(=INCR), ARLEN, RDATA, RLAST / HADDR(incrementing), HBURST(=INCR), HRDATA</t>
  </si>
  <si>
    <t xml:space="preserve">axi4_blocking_fixed_burst_write_read_test</t>
  </si>
  <si>
    <t xml:space="preserve">Blocking FIXED burst write then read on the same address.</t>
  </si>
  <si>
    <t xml:space="preserve">Verify AXI4 FIXED burst (constant address) is correctly mapped to repeated single AHB-Lite accesses at the same address.</t>
  </si>
  <si>
    <t xml:space="preserve">AWBURST(=FIXED), AWLEN, WDATA, ARBURST(=FIXED), RDATA / HADDR(constant), HTRANS(NONSEQ)</t>
  </si>
  <si>
    <t xml:space="preserve">axi4_blocking_exokay_response_write_test</t>
  </si>
  <si>
    <t xml:space="preserve">Exclusive write expected to return EXOKAY response.</t>
  </si>
  <si>
    <t xml:space="preserve">Verify exclusive write access is handled and the EXOKAY response is correctly generated by the bridge.</t>
  </si>
  <si>
    <t xml:space="preserve">AWLOCK(=Exclusive), BRESP(=EXOKAY) / HMASTLOCK, HRESP, HREADY</t>
  </si>
  <si>
    <t xml:space="preserve">axi4_blocking_exokay_response_read_test</t>
  </si>
  <si>
    <t xml:space="preserve">Exclusive read expected to return EXOKAY response.</t>
  </si>
  <si>
    <t xml:space="preserve">Verify exclusive read access is handled and the EXOKAY response is correctly generated by the bridge.</t>
  </si>
  <si>
    <t xml:space="preserve">ARLOCK(=Exclusive), RRESP(=EXOKAY) / HMASTLOCK, HRESP, HRDATA</t>
  </si>
  <si>
    <t xml:space="preserve">axi4_blocking_cross_write_read_test</t>
  </si>
  <si>
    <t xml:space="preserve">Cross write/read where read targets data written by a prior transaction.</t>
  </si>
  <si>
    <t xml:space="preserve">Verify data coherency across separate write and read transactions routed through the bridge.</t>
  </si>
  <si>
    <t xml:space="preserve">AWADDR, WDATA, ARADDR, RDATA / HADDR, HWDATA, HRDATA</t>
  </si>
  <si>
    <t xml:space="preserve">axi4_blocking_8b_write_read_test</t>
  </si>
  <si>
    <t xml:space="preserve">8-bit (byte) write followed by read.</t>
  </si>
  <si>
    <t xml:space="preserve">Verify byte-wide transfers (AWSIZE/ARSIZE = 1 byte) map correctly to HSIZE=BYTE on AHB-Lite.</t>
  </si>
  <si>
    <t xml:space="preserve">AWSIZE(=0), WSTRB, WDATA[7:0], RDATA[7:0] / HSIZE(=BYTE), HWDATA, HRDATA</t>
  </si>
  <si>
    <t xml:space="preserve">axi4_blocking_8b_write_data_test</t>
  </si>
  <si>
    <t xml:space="preserve">8-bit write-only data path test.</t>
  </si>
  <si>
    <t xml:space="preserve">Verify byte-wide write data and strobe alignment are correctly forwarded to AHB-Lite.</t>
  </si>
  <si>
    <t xml:space="preserve">AWSIZE(=0), WSTRB, WDATA[7:0] / HSIZE(=BYTE), HWDATA</t>
  </si>
  <si>
    <t xml:space="preserve">axi4_blocking_8b_data_read_test</t>
  </si>
  <si>
    <t xml:space="preserve">8-bit read-only data path test.</t>
  </si>
  <si>
    <t xml:space="preserve">Verify byte-wide read data is correctly returned from AHB-Lite to AXI4.</t>
  </si>
  <si>
    <t xml:space="preserve">ARSIZE(=0), RDATA[7:0] / HSIZE(=BYTE), HRDATA</t>
  </si>
  <si>
    <t xml:space="preserve">axi4_blocking_32b_write_read_test</t>
  </si>
  <si>
    <t xml:space="preserve">32-bit (word) write followed by read.</t>
  </si>
  <si>
    <t xml:space="preserve">Verify word-wide transfers (AWSIZE/ARSIZE = 4 bytes) map correctly to HSIZE=WORD on AHB-Lite.</t>
  </si>
  <si>
    <t xml:space="preserve">AWSIZE(=2), WSTRB, WDATA[31:0], RDATA[31:0] / HSIZE(=WORD), HWDATA, HRDATA</t>
  </si>
  <si>
    <t xml:space="preserve">axi4_blocking_32b_write_data_test</t>
  </si>
  <si>
    <t xml:space="preserve">32-bit write-only data path test.</t>
  </si>
  <si>
    <t xml:space="preserve">Verify word-wide write data is correctly forwarded to AHB-Lite.</t>
  </si>
  <si>
    <t xml:space="preserve">AWSIZE(=2), WSTRB, WDATA[31:0] / HSIZE(=WORD), HWDATA</t>
  </si>
  <si>
    <t xml:space="preserve">axi4_blocking_32b_data_read_test</t>
  </si>
  <si>
    <t xml:space="preserve">32-bit read-only data path test.</t>
  </si>
  <si>
    <t xml:space="preserve">Verify word-wide read data is correctly returned from AHB-Lite to AXI4.</t>
  </si>
  <si>
    <t xml:space="preserve">ARSIZE(=2), RDATA[31:0] / HSIZE(=WORD), HRDATA</t>
  </si>
  <si>
    <t xml:space="preserve">axi4_blocking_16b_write_read_test</t>
  </si>
  <si>
    <t xml:space="preserve">16-bit (halfword) write followed by read.</t>
  </si>
  <si>
    <t xml:space="preserve">Verify halfword-wide transfers (AWSIZE/ARSIZE = 2 bytes) map correctly to HSIZE=HALFWORD on AHB-Lite.</t>
  </si>
  <si>
    <t xml:space="preserve">AWSIZE(=1), WSTRB, WDATA[15:0], RDATA[15:0] / HSIZE(=HALFWORD), HWDATA, HRDATA</t>
  </si>
  <si>
    <t xml:space="preserve">axi4_blocking_16b_write_data_test</t>
  </si>
  <si>
    <t xml:space="preserve">16-bit write-only data path test.</t>
  </si>
  <si>
    <t xml:space="preserve">Verify halfword-wide write data and strobe alignment are correctly forwarded to AHB-Lite.</t>
  </si>
  <si>
    <t xml:space="preserve">AWSIZE(=1), WSTRB, WDATA[15:0] / HSIZE(=HALFWORD), HWDATA</t>
  </si>
  <si>
    <t xml:space="preserve">axi4_blocking_16b_data_read_test</t>
  </si>
  <si>
    <t xml:space="preserve">16-bit read-only data path test.</t>
  </si>
  <si>
    <t xml:space="preserve">Verify halfword-wide read data is correctly returned from AHB-Lite to AXI4.</t>
  </si>
  <si>
    <t xml:space="preserve">ARSIZE(=1), RDATA[15:0] / HSIZE(=HALFWORD), HRDATA</t>
  </si>
  <si>
    <t xml:space="preserve">AXI4-to-AHB-Lite Bridge - Verification Checklist</t>
  </si>
  <si>
    <t xml:space="preserve">Check ID</t>
  </si>
  <si>
    <t xml:space="preserve">Category</t>
  </si>
  <si>
    <t xml:space="preserve">Feature / Item to Verify</t>
  </si>
  <si>
    <t xml:space="preserve">Related Test Cases</t>
  </si>
  <si>
    <t xml:space="preserve">Update / Last Update</t>
  </si>
  <si>
    <t xml:space="preserve">CHK-01</t>
  </si>
  <si>
    <t xml:space="preserve">Data Width</t>
  </si>
  <si>
    <t xml:space="preserve">Verify 8-bit byte transfers translate correctly (AXI4 AWSIZE/ARSIZE -&gt; AHB HSIZE=BYTE).</t>
  </si>
  <si>
    <t xml:space="preserve">axi4_blocking_8b_write_read_test, axi4_blocking_8b_write_data_test, axi4_blocking_8b_data_read_test</t>
  </si>
  <si>
    <t xml:space="preserve">CHK-02</t>
  </si>
  <si>
    <t xml:space="preserve">Verify 16-bit halfword transfers translate correctly (HSIZE=HALFWORD).</t>
  </si>
  <si>
    <t xml:space="preserve">axi4_blocking_16b_write_read_test, axi4_blocking_16b_write_data_test, axi4_blocking_16b_data_read_test</t>
  </si>
  <si>
    <t xml:space="preserve">CHK-03</t>
  </si>
  <si>
    <t xml:space="preserve">Verify 32-bit word transfers translate correctly (HSIZE=WORD).</t>
  </si>
  <si>
    <t xml:space="preserve">axi4_blocking_32b_write_read_test, axi4_blocking_32b_write_data_test, axi4_blocking_32b_data_read_test</t>
  </si>
  <si>
    <t xml:space="preserve">CHK-04</t>
  </si>
  <si>
    <t xml:space="preserve">Burst Type</t>
  </si>
  <si>
    <t xml:space="preserve">Verify INCR burst is unrolled into sequential AHB-Lite accesses.</t>
  </si>
  <si>
    <t xml:space="preserve">axi4_blocking_incr_burst_write_test, axi4_blocking_incr_burst_write_read_test, axi4_blocking_incr_burst_read_test</t>
  </si>
  <si>
    <t xml:space="preserve">CHK-05</t>
  </si>
  <si>
    <t xml:space="preserve">Verify WRAP burst address wrapping is handled correctly.</t>
  </si>
  <si>
    <t xml:space="preserve">axi4_blocking_wrap_burst_write_test, axi4_blocking_wrap_burst_write_read_test, axi4_blocking_wrap_burst_read_test</t>
  </si>
  <si>
    <t xml:space="preserve">CHK-06</t>
  </si>
  <si>
    <t xml:space="preserve">Verify FIXED burst maps to repeated same-address accesses.</t>
  </si>
  <si>
    <t xml:space="preserve">CHK-07</t>
  </si>
  <si>
    <t xml:space="preserve">Response</t>
  </si>
  <si>
    <t xml:space="preserve">Verify OKAY response is propagated for normal transactions.</t>
  </si>
  <si>
    <t xml:space="preserve">axi4_blocking_okay_response_write_test, axi4_blocking_okay_response_write_read_test, axi4_blocking_okay_response_read_test</t>
  </si>
  <si>
    <t xml:space="preserve">CHK-08</t>
  </si>
  <si>
    <t xml:space="preserve">Verify EXOKAY response for exclusive accesses.</t>
  </si>
  <si>
    <t xml:space="preserve">axi4_blocking_exokay_response_write_test, axi4_blocking_exokay_response_read_test</t>
  </si>
  <si>
    <t xml:space="preserve">CHK-09</t>
  </si>
  <si>
    <t xml:space="preserve">Verify AHB error (HRESP) maps to AXI4 SLVERR.</t>
  </si>
  <si>
    <t xml:space="preserve">CHK-10</t>
  </si>
  <si>
    <t xml:space="preserve">Addressing</t>
  </si>
  <si>
    <t xml:space="preserve">Verify unaligned address handling.</t>
  </si>
  <si>
    <t xml:space="preserve">CHK-11</t>
  </si>
  <si>
    <t xml:space="preserve">Data Integrity</t>
  </si>
  <si>
    <t xml:space="preserve">Verify basic and randomized write/read data integrity.</t>
  </si>
  <si>
    <t xml:space="preserve">axi4_blocking_write_read_test, axi4_blocking_write_read_rand_test, axi4_blocking_cross_write_read_test</t>
  </si>
  <si>
    <t xml:space="preserve">CHK-12</t>
  </si>
  <si>
    <t xml:space="preserve">Outstanding</t>
  </si>
  <si>
    <t xml:space="preserve">Verify outstanding transactions are serialized without data loss.</t>
  </si>
  <si>
    <t xml:space="preserve">Summary</t>
  </si>
  <si>
    <t xml:space="preserve">Total Checks</t>
  </si>
  <si>
    <t xml:space="preserve">Passed</t>
  </si>
  <si>
    <t xml:space="preserve">Failed</t>
  </si>
  <si>
    <t xml:space="preserve">Completed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</si>
</sst>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48"/>
    <col collapsed="false" customWidth="true" hidden="false" outlineLevel="0" max="4" min="4" style="0" width="50"/>
    <col collapsed="false" customWidth="true" hidden="false" outlineLevel="0" max="5" min="5" style="0" width="4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28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1.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customFormat="false" ht="35.05" hidden="false" customHeight="false" outlineLevel="0" collapsed="false">
      <c r="A3" s="3" t="n">
        <v>1</v>
      </c>
      <c r="B3" s="4" t="s">
        <v>10</v>
      </c>
      <c r="C3" s="4" t="s">
        <v>11</v>
      </c>
      <c r="D3" s="4" t="s">
        <v>12</v>
      </c>
      <c r="E3" s="4" t="s">
        <v>13</v>
      </c>
      <c r="F3" s="3"/>
      <c r="G3" s="3" t="s">
        <v>14</v>
      </c>
      <c r="H3" s="3"/>
      <c r="I3" s="4"/>
    </row>
    <row r="4" customFormat="false" ht="23.85" hidden="false" customHeight="false" outlineLevel="0" collapsed="false">
      <c r="A4" s="5" t="n">
        <v>2</v>
      </c>
      <c r="B4" s="6" t="s">
        <v>15</v>
      </c>
      <c r="C4" s="6" t="s">
        <v>16</v>
      </c>
      <c r="D4" s="6" t="s">
        <v>17</v>
      </c>
      <c r="E4" s="6" t="s">
        <v>18</v>
      </c>
      <c r="F4" s="5"/>
      <c r="G4" s="5" t="s">
        <v>14</v>
      </c>
      <c r="H4" s="5"/>
      <c r="I4" s="6"/>
    </row>
    <row r="5" customFormat="false" ht="35.05" hidden="false" customHeight="false" outlineLevel="0" collapsed="false">
      <c r="A5" s="3" t="n">
        <v>3</v>
      </c>
      <c r="B5" s="4" t="s">
        <v>19</v>
      </c>
      <c r="C5" s="4" t="s">
        <v>20</v>
      </c>
      <c r="D5" s="4" t="s">
        <v>21</v>
      </c>
      <c r="E5" s="4" t="s">
        <v>22</v>
      </c>
      <c r="F5" s="3"/>
      <c r="G5" s="3" t="s">
        <v>14</v>
      </c>
      <c r="H5" s="3"/>
      <c r="I5" s="4"/>
    </row>
    <row r="6" customFormat="false" ht="23.85" hidden="false" customHeight="false" outlineLevel="0" collapsed="false">
      <c r="A6" s="5" t="n">
        <v>4</v>
      </c>
      <c r="B6" s="6" t="s">
        <v>23</v>
      </c>
      <c r="C6" s="6" t="s">
        <v>24</v>
      </c>
      <c r="D6" s="6" t="s">
        <v>25</v>
      </c>
      <c r="E6" s="6" t="s">
        <v>26</v>
      </c>
      <c r="F6" s="5"/>
      <c r="G6" s="5" t="s">
        <v>14</v>
      </c>
      <c r="H6" s="5"/>
      <c r="I6" s="6"/>
    </row>
    <row r="7" customFormat="false" ht="23.85" hidden="false" customHeight="false" outlineLevel="0" collapsed="false">
      <c r="A7" s="3" t="n">
        <v>5</v>
      </c>
      <c r="B7" s="4" t="s">
        <v>27</v>
      </c>
      <c r="C7" s="4" t="s">
        <v>28</v>
      </c>
      <c r="D7" s="4" t="s">
        <v>29</v>
      </c>
      <c r="E7" s="4" t="s">
        <v>30</v>
      </c>
      <c r="F7" s="3"/>
      <c r="G7" s="3" t="s">
        <v>14</v>
      </c>
      <c r="H7" s="3"/>
      <c r="I7" s="4"/>
    </row>
    <row r="8" customFormat="false" ht="23.85" hidden="false" customHeight="false" outlineLevel="0" collapsed="false">
      <c r="A8" s="5" t="n">
        <v>6</v>
      </c>
      <c r="B8" s="6" t="s">
        <v>31</v>
      </c>
      <c r="C8" s="6" t="s">
        <v>32</v>
      </c>
      <c r="D8" s="6" t="s">
        <v>33</v>
      </c>
      <c r="E8" s="6" t="s">
        <v>34</v>
      </c>
      <c r="F8" s="5"/>
      <c r="G8" s="5" t="s">
        <v>14</v>
      </c>
      <c r="H8" s="5"/>
      <c r="I8" s="6"/>
    </row>
    <row r="9" customFormat="false" ht="23.85" hidden="false" customHeight="false" outlineLevel="0" collapsed="false">
      <c r="A9" s="3" t="n">
        <v>7</v>
      </c>
      <c r="B9" s="4" t="s">
        <v>35</v>
      </c>
      <c r="C9" s="4" t="s">
        <v>36</v>
      </c>
      <c r="D9" s="4" t="s">
        <v>37</v>
      </c>
      <c r="E9" s="4" t="s">
        <v>38</v>
      </c>
      <c r="F9" s="3"/>
      <c r="G9" s="3" t="s">
        <v>14</v>
      </c>
      <c r="H9" s="3"/>
      <c r="I9" s="4"/>
    </row>
    <row r="10" customFormat="false" ht="35.05" hidden="false" customHeight="false" outlineLevel="0" collapsed="false">
      <c r="A10" s="5" t="n">
        <v>8</v>
      </c>
      <c r="B10" s="6" t="s">
        <v>39</v>
      </c>
      <c r="C10" s="6" t="s">
        <v>40</v>
      </c>
      <c r="D10" s="6" t="s">
        <v>41</v>
      </c>
      <c r="E10" s="6" t="s">
        <v>42</v>
      </c>
      <c r="F10" s="5"/>
      <c r="G10" s="5" t="s">
        <v>14</v>
      </c>
      <c r="H10" s="5"/>
      <c r="I10" s="6"/>
    </row>
    <row r="11" customFormat="false" ht="23.85" hidden="false" customHeight="false" outlineLevel="0" collapsed="false">
      <c r="A11" s="3" t="n">
        <v>9</v>
      </c>
      <c r="B11" s="4" t="s">
        <v>43</v>
      </c>
      <c r="C11" s="4" t="s">
        <v>44</v>
      </c>
      <c r="D11" s="4" t="s">
        <v>45</v>
      </c>
      <c r="E11" s="4" t="s">
        <v>46</v>
      </c>
      <c r="F11" s="3"/>
      <c r="G11" s="3" t="s">
        <v>14</v>
      </c>
      <c r="H11" s="3"/>
      <c r="I11" s="4"/>
    </row>
    <row r="12" customFormat="false" ht="23.85" hidden="false" customHeight="false" outlineLevel="0" collapsed="false">
      <c r="A12" s="5" t="n">
        <v>10</v>
      </c>
      <c r="B12" s="6" t="s">
        <v>47</v>
      </c>
      <c r="C12" s="6" t="s">
        <v>48</v>
      </c>
      <c r="D12" s="6" t="s">
        <v>49</v>
      </c>
      <c r="E12" s="6" t="s">
        <v>50</v>
      </c>
      <c r="F12" s="5"/>
      <c r="G12" s="5" t="s">
        <v>14</v>
      </c>
      <c r="H12" s="5"/>
      <c r="I12" s="6"/>
    </row>
    <row r="13" customFormat="false" ht="23.85" hidden="false" customHeight="false" outlineLevel="0" collapsed="false">
      <c r="A13" s="3" t="n">
        <v>11</v>
      </c>
      <c r="B13" s="4" t="s">
        <v>51</v>
      </c>
      <c r="C13" s="4" t="s">
        <v>52</v>
      </c>
      <c r="D13" s="4" t="s">
        <v>53</v>
      </c>
      <c r="E13" s="4" t="s">
        <v>54</v>
      </c>
      <c r="F13" s="3"/>
      <c r="G13" s="3" t="s">
        <v>14</v>
      </c>
      <c r="H13" s="3"/>
      <c r="I13" s="4"/>
    </row>
    <row r="14" customFormat="false" ht="35.05" hidden="false" customHeight="false" outlineLevel="0" collapsed="false">
      <c r="A14" s="5" t="n">
        <v>12</v>
      </c>
      <c r="B14" s="6" t="s">
        <v>55</v>
      </c>
      <c r="C14" s="6" t="s">
        <v>56</v>
      </c>
      <c r="D14" s="6" t="s">
        <v>57</v>
      </c>
      <c r="E14" s="6" t="s">
        <v>58</v>
      </c>
      <c r="F14" s="5"/>
      <c r="G14" s="5" t="s">
        <v>14</v>
      </c>
      <c r="H14" s="5"/>
      <c r="I14" s="6"/>
    </row>
    <row r="15" customFormat="false" ht="23.85" hidden="false" customHeight="false" outlineLevel="0" collapsed="false">
      <c r="A15" s="3" t="n">
        <v>13</v>
      </c>
      <c r="B15" s="4" t="s">
        <v>59</v>
      </c>
      <c r="C15" s="4" t="s">
        <v>60</v>
      </c>
      <c r="D15" s="4" t="s">
        <v>61</v>
      </c>
      <c r="E15" s="4" t="s">
        <v>62</v>
      </c>
      <c r="F15" s="3"/>
      <c r="G15" s="3" t="s">
        <v>14</v>
      </c>
      <c r="H15" s="3"/>
      <c r="I15" s="4"/>
    </row>
    <row r="16" customFormat="false" ht="23.85" hidden="false" customHeight="false" outlineLevel="0" collapsed="false">
      <c r="A16" s="5" t="n">
        <v>14</v>
      </c>
      <c r="B16" s="6" t="s">
        <v>63</v>
      </c>
      <c r="C16" s="6" t="s">
        <v>64</v>
      </c>
      <c r="D16" s="6" t="s">
        <v>65</v>
      </c>
      <c r="E16" s="6" t="s">
        <v>66</v>
      </c>
      <c r="F16" s="5"/>
      <c r="G16" s="5" t="s">
        <v>14</v>
      </c>
      <c r="H16" s="5"/>
      <c r="I16" s="6"/>
    </row>
    <row r="17" customFormat="false" ht="35.05" hidden="false" customHeight="false" outlineLevel="0" collapsed="false">
      <c r="A17" s="3" t="n">
        <v>15</v>
      </c>
      <c r="B17" s="4" t="s">
        <v>67</v>
      </c>
      <c r="C17" s="4" t="s">
        <v>68</v>
      </c>
      <c r="D17" s="4" t="s">
        <v>69</v>
      </c>
      <c r="E17" s="4" t="s">
        <v>70</v>
      </c>
      <c r="F17" s="3"/>
      <c r="G17" s="3" t="s">
        <v>14</v>
      </c>
      <c r="H17" s="3"/>
      <c r="I17" s="4"/>
    </row>
    <row r="18" customFormat="false" ht="23.85" hidden="false" customHeight="false" outlineLevel="0" collapsed="false">
      <c r="A18" s="5" t="n">
        <v>16</v>
      </c>
      <c r="B18" s="6" t="s">
        <v>71</v>
      </c>
      <c r="C18" s="6" t="s">
        <v>72</v>
      </c>
      <c r="D18" s="6" t="s">
        <v>73</v>
      </c>
      <c r="E18" s="6" t="s">
        <v>74</v>
      </c>
      <c r="F18" s="5"/>
      <c r="G18" s="5" t="s">
        <v>14</v>
      </c>
      <c r="H18" s="5"/>
      <c r="I18" s="6"/>
    </row>
    <row r="19" customFormat="false" ht="23.85" hidden="false" customHeight="false" outlineLevel="0" collapsed="false">
      <c r="A19" s="3" t="n">
        <v>17</v>
      </c>
      <c r="B19" s="4" t="s">
        <v>75</v>
      </c>
      <c r="C19" s="4" t="s">
        <v>76</v>
      </c>
      <c r="D19" s="4" t="s">
        <v>77</v>
      </c>
      <c r="E19" s="4" t="s">
        <v>78</v>
      </c>
      <c r="F19" s="3"/>
      <c r="G19" s="3" t="s">
        <v>14</v>
      </c>
      <c r="H19" s="3"/>
      <c r="I19" s="4"/>
    </row>
    <row r="20" customFormat="false" ht="23.85" hidden="false" customHeight="false" outlineLevel="0" collapsed="false">
      <c r="A20" s="5" t="n">
        <v>18</v>
      </c>
      <c r="B20" s="6" t="s">
        <v>79</v>
      </c>
      <c r="C20" s="6" t="s">
        <v>80</v>
      </c>
      <c r="D20" s="6" t="s">
        <v>81</v>
      </c>
      <c r="E20" s="6" t="s">
        <v>82</v>
      </c>
      <c r="F20" s="5"/>
      <c r="G20" s="5" t="s">
        <v>14</v>
      </c>
      <c r="H20" s="5"/>
      <c r="I20" s="6"/>
    </row>
    <row r="21" customFormat="false" ht="23.85" hidden="false" customHeight="false" outlineLevel="0" collapsed="false">
      <c r="A21" s="3" t="n">
        <v>19</v>
      </c>
      <c r="B21" s="4" t="s">
        <v>83</v>
      </c>
      <c r="C21" s="4" t="s">
        <v>84</v>
      </c>
      <c r="D21" s="4" t="s">
        <v>85</v>
      </c>
      <c r="E21" s="4" t="s">
        <v>86</v>
      </c>
      <c r="F21" s="3"/>
      <c r="G21" s="3" t="s">
        <v>14</v>
      </c>
      <c r="H21" s="3"/>
      <c r="I21" s="4"/>
    </row>
    <row r="22" customFormat="false" ht="23.85" hidden="false" customHeight="false" outlineLevel="0" collapsed="false">
      <c r="A22" s="5" t="n">
        <v>20</v>
      </c>
      <c r="B22" s="6" t="s">
        <v>87</v>
      </c>
      <c r="C22" s="6" t="s">
        <v>88</v>
      </c>
      <c r="D22" s="6" t="s">
        <v>89</v>
      </c>
      <c r="E22" s="6" t="s">
        <v>90</v>
      </c>
      <c r="F22" s="5"/>
      <c r="G22" s="5" t="s">
        <v>14</v>
      </c>
      <c r="H22" s="5"/>
      <c r="I22" s="6"/>
    </row>
    <row r="23" customFormat="false" ht="23.85" hidden="false" customHeight="false" outlineLevel="0" collapsed="false">
      <c r="A23" s="3" t="n">
        <v>21</v>
      </c>
      <c r="B23" s="4" t="s">
        <v>91</v>
      </c>
      <c r="C23" s="4" t="s">
        <v>92</v>
      </c>
      <c r="D23" s="4" t="s">
        <v>93</v>
      </c>
      <c r="E23" s="4" t="s">
        <v>94</v>
      </c>
      <c r="F23" s="3"/>
      <c r="G23" s="3" t="s">
        <v>14</v>
      </c>
      <c r="H23" s="3"/>
      <c r="I23" s="4"/>
    </row>
    <row r="24" customFormat="false" ht="23.85" hidden="false" customHeight="false" outlineLevel="0" collapsed="false">
      <c r="A24" s="5" t="n">
        <v>22</v>
      </c>
      <c r="B24" s="6" t="s">
        <v>95</v>
      </c>
      <c r="C24" s="6" t="s">
        <v>96</v>
      </c>
      <c r="D24" s="6" t="s">
        <v>97</v>
      </c>
      <c r="E24" s="6" t="s">
        <v>98</v>
      </c>
      <c r="F24" s="5"/>
      <c r="G24" s="5" t="s">
        <v>14</v>
      </c>
      <c r="H24" s="5"/>
      <c r="I24" s="6"/>
    </row>
    <row r="25" customFormat="false" ht="23.85" hidden="false" customHeight="false" outlineLevel="0" collapsed="false">
      <c r="A25" s="3" t="n">
        <v>23</v>
      </c>
      <c r="B25" s="4" t="s">
        <v>99</v>
      </c>
      <c r="C25" s="4" t="s">
        <v>100</v>
      </c>
      <c r="D25" s="4" t="s">
        <v>101</v>
      </c>
      <c r="E25" s="4" t="s">
        <v>102</v>
      </c>
      <c r="F25" s="3"/>
      <c r="G25" s="3" t="s">
        <v>14</v>
      </c>
      <c r="H25" s="3"/>
      <c r="I25" s="4"/>
    </row>
    <row r="26" customFormat="false" ht="23.85" hidden="false" customHeight="false" outlineLevel="0" collapsed="false">
      <c r="A26" s="5" t="n">
        <v>24</v>
      </c>
      <c r="B26" s="6" t="s">
        <v>103</v>
      </c>
      <c r="C26" s="6" t="s">
        <v>104</v>
      </c>
      <c r="D26" s="6" t="s">
        <v>105</v>
      </c>
      <c r="E26" s="6" t="s">
        <v>106</v>
      </c>
      <c r="F26" s="5"/>
      <c r="G26" s="5" t="s">
        <v>14</v>
      </c>
      <c r="H26" s="5"/>
      <c r="I26" s="6"/>
    </row>
    <row r="27" customFormat="false" ht="23.85" hidden="false" customHeight="false" outlineLevel="0" collapsed="false">
      <c r="A27" s="3" t="n">
        <v>25</v>
      </c>
      <c r="B27" s="4" t="s">
        <v>107</v>
      </c>
      <c r="C27" s="4" t="s">
        <v>108</v>
      </c>
      <c r="D27" s="4" t="s">
        <v>109</v>
      </c>
      <c r="E27" s="4" t="s">
        <v>110</v>
      </c>
      <c r="F27" s="3"/>
      <c r="G27" s="3" t="s">
        <v>14</v>
      </c>
      <c r="H27" s="3"/>
      <c r="I27" s="4"/>
    </row>
    <row r="28" customFormat="false" ht="23.85" hidden="false" customHeight="false" outlineLevel="0" collapsed="false">
      <c r="A28" s="5" t="n">
        <v>26</v>
      </c>
      <c r="B28" s="6" t="s">
        <v>111</v>
      </c>
      <c r="C28" s="6" t="s">
        <v>112</v>
      </c>
      <c r="D28" s="6" t="s">
        <v>113</v>
      </c>
      <c r="E28" s="6" t="s">
        <v>114</v>
      </c>
      <c r="F28" s="5"/>
      <c r="G28" s="5" t="s">
        <v>14</v>
      </c>
      <c r="H28" s="5"/>
      <c r="I28" s="6"/>
    </row>
    <row r="29" customFormat="false" ht="23.85" hidden="false" customHeight="false" outlineLevel="0" collapsed="false">
      <c r="A29" s="3" t="n">
        <v>27</v>
      </c>
      <c r="B29" s="4" t="s">
        <v>115</v>
      </c>
      <c r="C29" s="4" t="s">
        <v>116</v>
      </c>
      <c r="D29" s="4" t="s">
        <v>117</v>
      </c>
      <c r="E29" s="4" t="s">
        <v>118</v>
      </c>
      <c r="F29" s="3"/>
      <c r="G29" s="3" t="s">
        <v>14</v>
      </c>
      <c r="H29" s="3"/>
      <c r="I29" s="4"/>
    </row>
  </sheetData>
  <autoFilter ref="A2:I29"/>
  <mergeCells count="1">
    <mergeCell ref="A1:I1"/>
  </mergeCells>
  <dataValidations count="2">
    <dataValidation allowBlank="true" errorStyle="stop" operator="between" showDropDown="false" showErrorMessage="false" showInputMessage="false" sqref="G3:G29" type="list">
      <formula1>"Not Started,In Progress,Completed,Blocked"</formula1>
      <formula2>0</formula2>
    </dataValidation>
    <dataValidation allowBlank="true" errorStyle="stop" operator="between" showDropDown="false" showErrorMessage="false" showInputMessage="false" sqref="H3:H29" type="list">
      <formula1>"Pass,Fail,N/A"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28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</row>
    <row r="2" customFormat="false" ht="31.5" hidden="false" customHeight="true" outlineLevel="0" collapsed="false">
      <c r="A2" s="2" t="s">
        <v>120</v>
      </c>
      <c r="B2" s="2" t="s">
        <v>121</v>
      </c>
      <c r="C2" s="2" t="s">
        <v>122</v>
      </c>
      <c r="D2" s="2" t="s">
        <v>123</v>
      </c>
      <c r="E2" s="2" t="s">
        <v>6</v>
      </c>
      <c r="F2" s="2" t="s">
        <v>124</v>
      </c>
      <c r="G2" s="2" t="s">
        <v>7</v>
      </c>
      <c r="H2" s="2" t="s">
        <v>8</v>
      </c>
      <c r="I2" s="2" t="s">
        <v>9</v>
      </c>
    </row>
    <row r="3" customFormat="false" ht="23.85" hidden="false" customHeight="false" outlineLevel="0" collapsed="false">
      <c r="A3" s="3" t="s">
        <v>125</v>
      </c>
      <c r="B3" s="3" t="s">
        <v>126</v>
      </c>
      <c r="C3" s="4" t="s">
        <v>127</v>
      </c>
      <c r="D3" s="4" t="s">
        <v>128</v>
      </c>
      <c r="E3" s="3"/>
      <c r="F3" s="3"/>
      <c r="G3" s="3" t="s">
        <v>14</v>
      </c>
      <c r="H3" s="3"/>
      <c r="I3" s="4"/>
    </row>
    <row r="4" customFormat="false" ht="23.85" hidden="false" customHeight="false" outlineLevel="0" collapsed="false">
      <c r="A4" s="5" t="s">
        <v>129</v>
      </c>
      <c r="B4" s="5" t="s">
        <v>126</v>
      </c>
      <c r="C4" s="6" t="s">
        <v>130</v>
      </c>
      <c r="D4" s="6" t="s">
        <v>131</v>
      </c>
      <c r="E4" s="5"/>
      <c r="F4" s="5"/>
      <c r="G4" s="5" t="s">
        <v>14</v>
      </c>
      <c r="H4" s="5"/>
      <c r="I4" s="6"/>
    </row>
    <row r="5" customFormat="false" ht="23.85" hidden="false" customHeight="false" outlineLevel="0" collapsed="false">
      <c r="A5" s="3" t="s">
        <v>132</v>
      </c>
      <c r="B5" s="3" t="s">
        <v>126</v>
      </c>
      <c r="C5" s="4" t="s">
        <v>133</v>
      </c>
      <c r="D5" s="4" t="s">
        <v>134</v>
      </c>
      <c r="E5" s="3"/>
      <c r="F5" s="3"/>
      <c r="G5" s="3" t="s">
        <v>14</v>
      </c>
      <c r="H5" s="3"/>
      <c r="I5" s="4"/>
    </row>
    <row r="6" customFormat="false" ht="35.05" hidden="false" customHeight="false" outlineLevel="0" collapsed="false">
      <c r="A6" s="5" t="s">
        <v>135</v>
      </c>
      <c r="B6" s="5" t="s">
        <v>136</v>
      </c>
      <c r="C6" s="6" t="s">
        <v>137</v>
      </c>
      <c r="D6" s="6" t="s">
        <v>138</v>
      </c>
      <c r="E6" s="5"/>
      <c r="F6" s="5"/>
      <c r="G6" s="5" t="s">
        <v>14</v>
      </c>
      <c r="H6" s="5"/>
      <c r="I6" s="6"/>
    </row>
    <row r="7" customFormat="false" ht="35.05" hidden="false" customHeight="false" outlineLevel="0" collapsed="false">
      <c r="A7" s="3" t="s">
        <v>139</v>
      </c>
      <c r="B7" s="3" t="s">
        <v>136</v>
      </c>
      <c r="C7" s="4" t="s">
        <v>140</v>
      </c>
      <c r="D7" s="4" t="s">
        <v>141</v>
      </c>
      <c r="E7" s="3"/>
      <c r="F7" s="3"/>
      <c r="G7" s="3" t="s">
        <v>14</v>
      </c>
      <c r="H7" s="3"/>
      <c r="I7" s="4"/>
    </row>
    <row r="8" customFormat="false" ht="15" hidden="false" customHeight="false" outlineLevel="0" collapsed="false">
      <c r="A8" s="5" t="s">
        <v>142</v>
      </c>
      <c r="B8" s="5" t="s">
        <v>136</v>
      </c>
      <c r="C8" s="6" t="s">
        <v>143</v>
      </c>
      <c r="D8" s="6" t="s">
        <v>67</v>
      </c>
      <c r="E8" s="5"/>
      <c r="F8" s="5"/>
      <c r="G8" s="5" t="s">
        <v>14</v>
      </c>
      <c r="H8" s="5"/>
      <c r="I8" s="6"/>
    </row>
    <row r="9" customFormat="false" ht="35.05" hidden="false" customHeight="false" outlineLevel="0" collapsed="false">
      <c r="A9" s="3" t="s">
        <v>144</v>
      </c>
      <c r="B9" s="3" t="s">
        <v>145</v>
      </c>
      <c r="C9" s="4" t="s">
        <v>146</v>
      </c>
      <c r="D9" s="4" t="s">
        <v>147</v>
      </c>
      <c r="E9" s="3"/>
      <c r="F9" s="3"/>
      <c r="G9" s="3" t="s">
        <v>14</v>
      </c>
      <c r="H9" s="3"/>
      <c r="I9" s="4"/>
    </row>
    <row r="10" customFormat="false" ht="23.85" hidden="false" customHeight="false" outlineLevel="0" collapsed="false">
      <c r="A10" s="5" t="s">
        <v>148</v>
      </c>
      <c r="B10" s="5" t="s">
        <v>145</v>
      </c>
      <c r="C10" s="6" t="s">
        <v>149</v>
      </c>
      <c r="D10" s="6" t="s">
        <v>150</v>
      </c>
      <c r="E10" s="5"/>
      <c r="F10" s="5"/>
      <c r="G10" s="5" t="s">
        <v>14</v>
      </c>
      <c r="H10" s="5"/>
      <c r="I10" s="6"/>
    </row>
    <row r="11" customFormat="false" ht="15" hidden="false" customHeight="false" outlineLevel="0" collapsed="false">
      <c r="A11" s="3" t="s">
        <v>151</v>
      </c>
      <c r="B11" s="3" t="s">
        <v>145</v>
      </c>
      <c r="C11" s="4" t="s">
        <v>152</v>
      </c>
      <c r="D11" s="4" t="s">
        <v>35</v>
      </c>
      <c r="E11" s="3"/>
      <c r="F11" s="3"/>
      <c r="G11" s="3" t="s">
        <v>14</v>
      </c>
      <c r="H11" s="3"/>
      <c r="I11" s="4"/>
    </row>
    <row r="12" customFormat="false" ht="15" hidden="false" customHeight="false" outlineLevel="0" collapsed="false">
      <c r="A12" s="5" t="s">
        <v>153</v>
      </c>
      <c r="B12" s="5" t="s">
        <v>154</v>
      </c>
      <c r="C12" s="6" t="s">
        <v>155</v>
      </c>
      <c r="D12" s="6" t="s">
        <v>31</v>
      </c>
      <c r="E12" s="5"/>
      <c r="F12" s="5"/>
      <c r="G12" s="5" t="s">
        <v>14</v>
      </c>
      <c r="H12" s="5"/>
      <c r="I12" s="6"/>
    </row>
    <row r="13" customFormat="false" ht="23.85" hidden="false" customHeight="false" outlineLevel="0" collapsed="false">
      <c r="A13" s="3" t="s">
        <v>156</v>
      </c>
      <c r="B13" s="3" t="s">
        <v>157</v>
      </c>
      <c r="C13" s="4" t="s">
        <v>158</v>
      </c>
      <c r="D13" s="4" t="s">
        <v>159</v>
      </c>
      <c r="E13" s="3"/>
      <c r="F13" s="3"/>
      <c r="G13" s="3" t="s">
        <v>14</v>
      </c>
      <c r="H13" s="3"/>
      <c r="I13" s="4"/>
    </row>
    <row r="14" customFormat="false" ht="15" hidden="false" customHeight="false" outlineLevel="0" collapsed="false">
      <c r="A14" s="5" t="s">
        <v>160</v>
      </c>
      <c r="B14" s="5" t="s">
        <v>161</v>
      </c>
      <c r="C14" s="6" t="s">
        <v>162</v>
      </c>
      <c r="D14" s="6" t="s">
        <v>39</v>
      </c>
      <c r="E14" s="5"/>
      <c r="F14" s="5"/>
      <c r="G14" s="5" t="s">
        <v>14</v>
      </c>
      <c r="H14" s="5"/>
      <c r="I14" s="6"/>
    </row>
    <row r="16" customFormat="false" ht="15" hidden="false" customHeight="false" outlineLevel="0" collapsed="false">
      <c r="B16" s="7" t="s">
        <v>163</v>
      </c>
    </row>
    <row r="17" customFormat="false" ht="15" hidden="false" customHeight="false" outlineLevel="0" collapsed="false">
      <c r="B17" s="8" t="s">
        <v>164</v>
      </c>
      <c r="C17" s="8" t="n">
        <f aca="false">COUNTA(A3:A14)</f>
        <v>12</v>
      </c>
    </row>
    <row r="18" customFormat="false" ht="15" hidden="false" customHeight="false" outlineLevel="0" collapsed="false">
      <c r="B18" s="8" t="s">
        <v>165</v>
      </c>
      <c r="C18" s="8" t="n">
        <f aca="false">COUNTIF(H3:H14,"Pass")</f>
        <v>0</v>
      </c>
    </row>
    <row r="19" customFormat="false" ht="15" hidden="false" customHeight="false" outlineLevel="0" collapsed="false">
      <c r="B19" s="8" t="s">
        <v>166</v>
      </c>
      <c r="C19" s="8" t="n">
        <f aca="false">COUNTIF(H3:H14,"Fail")</f>
        <v>0</v>
      </c>
    </row>
    <row r="20" customFormat="false" ht="15" hidden="false" customHeight="false" outlineLevel="0" collapsed="false">
      <c r="B20" s="8" t="s">
        <v>167</v>
      </c>
      <c r="C20" s="8" t="n">
        <f aca="false">COUNTIF(G3:G14,"Completed")</f>
        <v>0</v>
      </c>
    </row>
  </sheetData>
  <autoFilter ref="A2:I14"/>
  <mergeCells count="1">
    <mergeCell ref="A1:I1"/>
  </mergeCells>
  <dataValidations count="2">
    <dataValidation allowBlank="true" errorStyle="stop" operator="between" showDropDown="false" showErrorMessage="false" showInputMessage="false" sqref="G3:G14" type="list">
      <formula1>"Not Started,In Progress,Completed,Blocked"</formula1>
      <formula2>0</formula2>
    </dataValidation>
    <dataValidation allowBlank="true" errorStyle="stop" operator="between" showDropDown="false" showErrorMessage="false" showInputMessage="false" sqref="H3:H14" type="list">
      <formula1>"Pass,Fail,N/A"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2026-06-09T03:50:14Z</dcterms:created>
  <dc:creator>openpyxl</dc:creator>
  <dc:description/>
  <dc:language>en-US</dc:language>
  <cp:lastModifiedBy/>
  <dcterms:modified xsi:type="dcterms:W3CDTF">2026-06-09T03:50:15Z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